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livettu-my.sharepoint.com/personal/jusabe_taltech_ee/Documents/GitHub_repos/ecYaliPERF/Proteomics analysis/GSA/"/>
    </mc:Choice>
  </mc:AlternateContent>
  <xr:revisionPtr revIDLastSave="22" documentId="11_F25DC773A252ABDACC1048E231DD66765BDE58E6" xr6:coauthVersionLast="47" xr6:coauthVersionMax="47" xr10:uidLastSave="{18A073D2-1993-4D80-8755-2DDF32822371}"/>
  <bookViews>
    <workbookView xWindow="-120" yWindow="-120" windowWidth="29040" windowHeight="15720" xr2:uid="{00000000-000D-0000-FFFF-FFFF00000000}"/>
  </bookViews>
  <sheets>
    <sheet name="Sheet2" sheetId="2" r:id="rId1"/>
    <sheet name="Exp vs N chart" sheetId="3" r:id="rId2"/>
    <sheet name="Sheet5" sheetId="5" r:id="rId3"/>
    <sheet name="Exp strains vs WT" sheetId="4" r:id="rId4"/>
    <sheet name="Source" sheetId="1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3" l="1"/>
  <c r="D80" i="3"/>
  <c r="D73" i="3"/>
  <c r="D86" i="3"/>
  <c r="D78" i="3"/>
  <c r="D77" i="3"/>
  <c r="D85" i="3"/>
  <c r="D94" i="3"/>
  <c r="D76" i="3"/>
  <c r="D97" i="3"/>
  <c r="D91" i="3"/>
  <c r="D96" i="3"/>
  <c r="D95" i="3"/>
  <c r="D74" i="3"/>
  <c r="D93" i="3"/>
  <c r="D90" i="3"/>
  <c r="D92" i="3"/>
  <c r="D83" i="3"/>
  <c r="D88" i="3"/>
  <c r="D89" i="3"/>
  <c r="D72" i="3"/>
  <c r="D79" i="3"/>
  <c r="D75" i="3"/>
  <c r="D87" i="3"/>
  <c r="D98" i="3"/>
  <c r="D81" i="3"/>
  <c r="D82" i="3"/>
  <c r="D84" i="3"/>
  <c r="D59" i="3"/>
  <c r="D55" i="3"/>
  <c r="D64" i="3"/>
  <c r="D60" i="3"/>
  <c r="D62" i="3"/>
  <c r="D65" i="3"/>
  <c r="D68" i="3"/>
  <c r="D69" i="3"/>
  <c r="D66" i="3"/>
  <c r="D56" i="3"/>
  <c r="D57" i="3"/>
  <c r="D58" i="3"/>
  <c r="D63" i="3"/>
  <c r="D61" i="3"/>
  <c r="D67" i="3"/>
  <c r="D41" i="3"/>
  <c r="D42" i="3"/>
  <c r="D30" i="3"/>
  <c r="D43" i="3"/>
  <c r="D34" i="3"/>
  <c r="D44" i="3"/>
  <c r="D45" i="3"/>
  <c r="D31" i="3"/>
  <c r="D46" i="3"/>
  <c r="D40" i="3"/>
  <c r="D32" i="3"/>
  <c r="D52" i="3"/>
  <c r="D35" i="3"/>
  <c r="D48" i="3"/>
  <c r="D33" i="3"/>
  <c r="D49" i="3"/>
  <c r="D50" i="3"/>
  <c r="D36" i="3"/>
  <c r="D37" i="3"/>
  <c r="D47" i="3"/>
  <c r="D39" i="3"/>
  <c r="D51" i="3"/>
  <c r="D38" i="3"/>
  <c r="E2" i="3"/>
  <c r="E3" i="3"/>
  <c r="E7" i="3"/>
  <c r="E4" i="3"/>
  <c r="E5" i="3"/>
  <c r="E8" i="3"/>
  <c r="E6" i="3"/>
</calcChain>
</file>

<file path=xl/sharedStrings.xml><?xml version="1.0" encoding="utf-8"?>
<sst xmlns="http://schemas.openxmlformats.org/spreadsheetml/2006/main" count="743" uniqueCount="134">
  <si>
    <t>Name</t>
  </si>
  <si>
    <t>Genes (tot)</t>
  </si>
  <si>
    <t>Stat (dist.dir.up)</t>
  </si>
  <si>
    <t>p (dist.dir.up)</t>
  </si>
  <si>
    <t>p adj (dist.dir.up)</t>
  </si>
  <si>
    <t>Stat (dist.dir.dn)</t>
  </si>
  <si>
    <t>p (dist.dir.dn)</t>
  </si>
  <si>
    <t>p adj (dist.dir.dn)</t>
  </si>
  <si>
    <t>Stat (non-dir.)</t>
  </si>
  <si>
    <t>p (non-dir.)</t>
  </si>
  <si>
    <t>p adj (non-dir.)</t>
  </si>
  <si>
    <t>Genes (up)</t>
  </si>
  <si>
    <t>Stat (mix.dir.up)</t>
  </si>
  <si>
    <t>p (mix.dir.up)</t>
  </si>
  <si>
    <t>p adj (mix.dir.up)</t>
  </si>
  <si>
    <t>Genes (down)</t>
  </si>
  <si>
    <t>Stat (mix.dir.dn)</t>
  </si>
  <si>
    <t>p (mix.dir.dn)</t>
  </si>
  <si>
    <t>p adj (mix.dir.dn)</t>
  </si>
  <si>
    <t>fungal-type vacuole membrane [GO:0000329]</t>
  </si>
  <si>
    <t>proteasome-mediated ubiquitin-dependent protein catabolic process [GO:0043161]</t>
  </si>
  <si>
    <t>proteasomal ubiquitin-independent protein catabolic process [GO:0010499]</t>
  </si>
  <si>
    <t>NA</t>
  </si>
  <si>
    <t>cytosolic small ribosomal subunit [GO:0022627]</t>
  </si>
  <si>
    <t>chaperone cofactor-dependent protein refolding [GO:0051085]</t>
  </si>
  <si>
    <t>ribosome [GO:0005840]</t>
  </si>
  <si>
    <t>structural constituent of ribosome [GO:0003735]</t>
  </si>
  <si>
    <t>translation [GO:0006412]</t>
  </si>
  <si>
    <t>ribonucleoprotein complex [GO:1990904]</t>
  </si>
  <si>
    <t>cytosolic large ribosomal subunit [GO:0022625]</t>
  </si>
  <si>
    <t>mitochondrial large ribosomal subunit [GO:0005762]</t>
  </si>
  <si>
    <t>small ribosomal subunit [GO:0015935]</t>
  </si>
  <si>
    <t>mitochondrial translation [GO:0032543]</t>
  </si>
  <si>
    <t>mitochondrial small ribosomal subunit [GO:0005763]</t>
  </si>
  <si>
    <t>proteasome complex [GO:0000502]</t>
  </si>
  <si>
    <t>proteasome storage granule [GO:0034515]</t>
  </si>
  <si>
    <t>vacuole [GO:0005773]</t>
  </si>
  <si>
    <t>proteasome core complex [GO:0005839]</t>
  </si>
  <si>
    <t>vacuolar membrane [GO:0005774]</t>
  </si>
  <si>
    <t>aromatic amino acid family biosynthetic process [GO:0009073]</t>
  </si>
  <si>
    <t>cytoplasmic translation [GO:0002181]</t>
  </si>
  <si>
    <t>GID complex [GO:0034657]</t>
  </si>
  <si>
    <t>chitin biosynthetic process [GO:0006031]</t>
  </si>
  <si>
    <t>heat shock protein binding [GO:0031072]</t>
  </si>
  <si>
    <t>amino acid metabolic process [GO:0006520]</t>
  </si>
  <si>
    <t>proteasome core complex, alpha-subunit complex [GO:0019773]</t>
  </si>
  <si>
    <t>methionine biosynthetic process [GO:0009086]</t>
  </si>
  <si>
    <t>translational initiation [GO:0006413]</t>
  </si>
  <si>
    <t>Comparison</t>
  </si>
  <si>
    <t>SBY145 E vs N</t>
  </si>
  <si>
    <t>protein refolding [GO:0042026]</t>
  </si>
  <si>
    <t>large ribosomal subunit [GO:0015934]</t>
  </si>
  <si>
    <t>plasma membrane [GO:0005886]</t>
  </si>
  <si>
    <t>translation initiation factor activity [GO:0003743]</t>
  </si>
  <si>
    <t>amino acid biosynthetic process [GO:0008652]</t>
  </si>
  <si>
    <t>phosphatidylinositol binding [GO:0035091]</t>
  </si>
  <si>
    <t>ATP-dependent protein folding chaperone [GO:0140662]</t>
  </si>
  <si>
    <t>SBY147 e vs N</t>
  </si>
  <si>
    <t>cell cortex [GO:0005938]</t>
  </si>
  <si>
    <t>actin binding [GO:0003779]</t>
  </si>
  <si>
    <t>actin filament binding [GO:0051015]</t>
  </si>
  <si>
    <t>cell division site [GO:0032153]</t>
  </si>
  <si>
    <t>ergosterol biosynthetic process [GO:0006696]</t>
  </si>
  <si>
    <t>septin ring [GO:0005940]</t>
  </si>
  <si>
    <t>endoplasmic reticulum [GO:0005783]</t>
  </si>
  <si>
    <t>mating projection tip [GO:0043332]</t>
  </si>
  <si>
    <t>sterol biosynthetic process [GO:0016126]</t>
  </si>
  <si>
    <t>intracellular calcium ion homeostasis [GO:0006874]</t>
  </si>
  <si>
    <t>septin cytoskeleton [GO:0032156]</t>
  </si>
  <si>
    <t>septin complex [GO:0031105]</t>
  </si>
  <si>
    <t>cytoskeleton-dependent cytokinesis [GO:0061640]</t>
  </si>
  <si>
    <t>cell cortex of cell tip [GO:0051285]</t>
  </si>
  <si>
    <t>pyridoxal phosphate binding [GO:0030170]</t>
  </si>
  <si>
    <t>proteasome regulatory particle assembly [GO:0070682]</t>
  </si>
  <si>
    <t>myosin complex [GO:0016459]</t>
  </si>
  <si>
    <t>lipid droplet [GO:0005811]</t>
  </si>
  <si>
    <t>medial cortex [GO:0031097]</t>
  </si>
  <si>
    <t>SBY147 e vs SBY145 e</t>
  </si>
  <si>
    <t>eukaryotic translation initiation factor 3 complex, eIF3e [GO:0071540]</t>
  </si>
  <si>
    <t>eukaryotic translation initiation factor 3 complex, eIF3m [GO:0071541]</t>
  </si>
  <si>
    <t>vacuolar acidification [GO:0007035]</t>
  </si>
  <si>
    <t>SBY148 e vs N</t>
  </si>
  <si>
    <t>oxidoreductase activity [GO:0016491]</t>
  </si>
  <si>
    <t>oxidoreductase activity, acting on the CH-OH group of donors, NAD or NADP as acceptor [GO:0016616]</t>
  </si>
  <si>
    <t>protein N-linked glycosylation via asparagine [GO:0018279]</t>
  </si>
  <si>
    <t>acyltransferase activity [GO:0016746]</t>
  </si>
  <si>
    <t>GTPase activator activity [GO:0005096]</t>
  </si>
  <si>
    <t>SBY148 e vs SBY145 e</t>
  </si>
  <si>
    <t>oligopeptide transmembrane transporter activity [GO:0035673]</t>
  </si>
  <si>
    <t>peptide transport [GO:0015833]</t>
  </si>
  <si>
    <t>oligopeptide transmembrane transport [GO:0035672]</t>
  </si>
  <si>
    <t>SBY148 n vs SBY145 n</t>
  </si>
  <si>
    <t>ligase activity [GO:0016874]</t>
  </si>
  <si>
    <t>lysine biosynthetic process via aminoadipic acid [GO:0019878]</t>
  </si>
  <si>
    <t>lysine biosynthetic process [GO:0009085]</t>
  </si>
  <si>
    <t>eukaryotic 48S preinitiation complex [GO:0033290]</t>
  </si>
  <si>
    <t>phosphatidylinositol-3-phosphate binding [GO:0032266]</t>
  </si>
  <si>
    <t>formation of cytoplasmic translation initiation complex [GO:0001732]</t>
  </si>
  <si>
    <t>peptidase activity [GO:0008233]</t>
  </si>
  <si>
    <t>eukaryotic translation initiation factor 3 complex [GO:0005852]</t>
  </si>
  <si>
    <t>branched-chain amino acid biosynthetic process [GO:0009082]</t>
  </si>
  <si>
    <t>L-valine biosynthetic process [GO:0009099]</t>
  </si>
  <si>
    <t>SBY160 e vs N</t>
  </si>
  <si>
    <t>cell periphery [GO:0071944]</t>
  </si>
  <si>
    <t>endocytic vesicle [GO:0030139]</t>
  </si>
  <si>
    <t>cytoskeletal motor activity [GO:0003774]</t>
  </si>
  <si>
    <t>phosphatidylinositol-4-phosphate binding [GO:0070273]</t>
  </si>
  <si>
    <t>positive regulation of macromolecule metabolic process [GO:0010604]</t>
  </si>
  <si>
    <t>proteasome-activating activity [GO:0036402]</t>
  </si>
  <si>
    <t>positive regulation of proteasomal protein catabolic process [GO:1901800]</t>
  </si>
  <si>
    <t>cellular bud neck [GO:0005935]</t>
  </si>
  <si>
    <t>protein O-linked mannosylation [GO:0035269]</t>
  </si>
  <si>
    <t>SBY160 e vs SBY145 e</t>
  </si>
  <si>
    <t>SBY160 n vs SBY145 n</t>
  </si>
  <si>
    <t>Row Labels</t>
  </si>
  <si>
    <t>Column Labels</t>
  </si>
  <si>
    <t>Sum of Genes (down)</t>
  </si>
  <si>
    <t>Go term</t>
  </si>
  <si>
    <t>Count of Genes (up)</t>
  </si>
  <si>
    <t>proteasome regulatory particle assembly [GO:0070682] *</t>
  </si>
  <si>
    <t>cytoskeleton-dependent cytokinesis [GO:0061640] **</t>
  </si>
  <si>
    <t>septin complex [GO:0031105] **</t>
  </si>
  <si>
    <t>septin cytoskeleton [GO:0032156] **</t>
  </si>
  <si>
    <t>sterol biosynthetic process [GO:0016126] **</t>
  </si>
  <si>
    <t>cell cortex [GO:0005938] **</t>
  </si>
  <si>
    <t>endoplasmic reticulum [GO:0005783] **</t>
  </si>
  <si>
    <t>ergosterol biosynthetic process [GO:0006696] **</t>
  </si>
  <si>
    <t>lipid droplet [GO:0005811] *</t>
  </si>
  <si>
    <t>septin ring [GO:0005940] **</t>
  </si>
  <si>
    <t>plasma membrane [GO:0005886] *</t>
  </si>
  <si>
    <t>ribosome [GO:0005840] *</t>
  </si>
  <si>
    <t>oxidoreductase activity [GO:0016491] *</t>
  </si>
  <si>
    <t>oxidoreductase activity, acting on the CH-OH group of donors, NAD or NADP as acceptor [GO:0016616] *</t>
  </si>
  <si>
    <t>Upregulation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</si>
</sst>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0" fontId="1" fillId="2" borderId="0" xfId="0" applyFont="1" applyFill="1"/>
    <xf numFmtId="1" fontId="0" fillId="0" borderId="0" xfId="0" applyNumberFormat="1"/>
    <xf numFmtId="2" fontId="0" fillId="0" borderId="0" xfId="0" applyNumberFormat="1"/>
    <xf numFmtId="9" fontId="0" fillId="0" borderId="0" xfId="1" applyFont="1"/>
    <xf numFmtId="2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4443606942294609"/>
          <c:y val="0.1068989501312336"/>
          <c:w val="0.40066835662636185"/>
          <c:h val="0.8081288276465441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'Exp vs N chart'!$C$1</c:f>
              <c:strCache>
                <c:ptCount val="1"/>
                <c:pt idx="0">
                  <c:v>Genes (up)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'Exp vs N chart'!$A$2:$A$9</c:f>
              <c:strCache>
                <c:ptCount val="8"/>
                <c:pt idx="0">
                  <c:v>mitochondrial large ribosomal subunit [GO:0005762]</c:v>
                </c:pt>
                <c:pt idx="1">
                  <c:v>mitochondrial small ribosomal subunit [GO:0005763]</c:v>
                </c:pt>
                <c:pt idx="2">
                  <c:v>small ribosomal subunit [GO:0015935]</c:v>
                </c:pt>
                <c:pt idx="3">
                  <c:v>structural constituent of ribosome [GO:0003735]</c:v>
                </c:pt>
                <c:pt idx="4">
                  <c:v>cytosolic small ribosomal subunit [GO:0022627]</c:v>
                </c:pt>
                <c:pt idx="5">
                  <c:v>ribosome [GO:0005840]</c:v>
                </c:pt>
                <c:pt idx="6">
                  <c:v>translation [GO:0006412]</c:v>
                </c:pt>
                <c:pt idx="7">
                  <c:v>ribonucleoprotein complex [GO:1990904]</c:v>
                </c:pt>
              </c:strCache>
            </c:strRef>
          </c:cat>
          <c:val>
            <c:numRef>
              <c:f>'Exp vs N chart'!$C$2:$C$9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3.75</c:v>
                </c:pt>
                <c:pt idx="4">
                  <c:v>1</c:v>
                </c:pt>
                <c:pt idx="5">
                  <c:v>5</c:v>
                </c:pt>
                <c:pt idx="6">
                  <c:v>11</c:v>
                </c:pt>
                <c:pt idx="7">
                  <c:v>32.75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E-48AD-887A-30D78F95824F}"/>
            </c:ext>
          </c:extLst>
        </c:ser>
        <c:ser>
          <c:idx val="1"/>
          <c:order val="1"/>
          <c:tx>
            <c:strRef>
              <c:f>'Exp vs N chart'!$D$1</c:f>
              <c:strCache>
                <c:ptCount val="1"/>
                <c:pt idx="0">
                  <c:v>Genes (down)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'Exp vs N chart'!$A$2:$A$9</c:f>
              <c:strCache>
                <c:ptCount val="8"/>
                <c:pt idx="0">
                  <c:v>mitochondrial large ribosomal subunit [GO:0005762]</c:v>
                </c:pt>
                <c:pt idx="1">
                  <c:v>mitochondrial small ribosomal subunit [GO:0005763]</c:v>
                </c:pt>
                <c:pt idx="2">
                  <c:v>small ribosomal subunit [GO:0015935]</c:v>
                </c:pt>
                <c:pt idx="3">
                  <c:v>structural constituent of ribosome [GO:0003735]</c:v>
                </c:pt>
                <c:pt idx="4">
                  <c:v>cytosolic small ribosomal subunit [GO:0022627]</c:v>
                </c:pt>
                <c:pt idx="5">
                  <c:v>ribosome [GO:0005840]</c:v>
                </c:pt>
                <c:pt idx="6">
                  <c:v>translation [GO:0006412]</c:v>
                </c:pt>
                <c:pt idx="7">
                  <c:v>ribonucleoprotein complex [GO:1990904]</c:v>
                </c:pt>
              </c:strCache>
            </c:strRef>
          </c:cat>
          <c:val>
            <c:numRef>
              <c:f>'Exp vs N chart'!$D$2:$D$9</c:f>
              <c:numCache>
                <c:formatCode>0</c:formatCode>
                <c:ptCount val="8"/>
                <c:pt idx="0">
                  <c:v>31</c:v>
                </c:pt>
                <c:pt idx="1">
                  <c:v>17</c:v>
                </c:pt>
                <c:pt idx="2">
                  <c:v>12.25</c:v>
                </c:pt>
                <c:pt idx="3">
                  <c:v>131</c:v>
                </c:pt>
                <c:pt idx="4">
                  <c:v>28</c:v>
                </c:pt>
                <c:pt idx="5">
                  <c:v>126</c:v>
                </c:pt>
                <c:pt idx="6">
                  <c:v>169.25</c:v>
                </c:pt>
                <c:pt idx="7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E-48AD-887A-30D78F958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9537823"/>
        <c:axId val="1559534079"/>
      </c:barChart>
      <c:catAx>
        <c:axId val="155953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9534079"/>
        <c:crossesAt val="0"/>
        <c:auto val="1"/>
        <c:lblAlgn val="ctr"/>
        <c:lblOffset val="100"/>
        <c:noMultiLvlLbl val="0"/>
      </c:catAx>
      <c:valAx>
        <c:axId val="1559534079"/>
        <c:scaling>
          <c:orientation val="minMax"/>
          <c:max val="1"/>
        </c:scaling>
        <c:delete val="0"/>
        <c:axPos val="b"/>
        <c:numFmt formatCode="0%" sourceLinked="1"/>
        <c:majorTickMark val="cross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9537823"/>
        <c:crosses val="autoZero"/>
        <c:crossBetween val="between"/>
        <c:majorUnit val="0.2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4443606942294609"/>
          <c:y val="0.1068989501312336"/>
          <c:w val="0.40066835662636185"/>
          <c:h val="0.8081288276465441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'Exp vs N chart'!$B$29</c:f>
              <c:strCache>
                <c:ptCount val="1"/>
                <c:pt idx="0">
                  <c:v>Genes (up)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'Exp vs N chart'!$A$30:$A$52</c:f>
              <c:strCache>
                <c:ptCount val="23"/>
                <c:pt idx="0">
                  <c:v>cell cortex of cell tip [GO:0051285]</c:v>
                </c:pt>
                <c:pt idx="1">
                  <c:v>intracellular calcium ion homeostasis [GO:0006874]</c:v>
                </c:pt>
                <c:pt idx="2">
                  <c:v>medial cortex [GO:0031097]</c:v>
                </c:pt>
                <c:pt idx="3">
                  <c:v>proteasome regulatory particle assembly [GO:0070682] *</c:v>
                </c:pt>
                <c:pt idx="4">
                  <c:v>cytoskeleton-dependent cytokinesis [GO:0061640] **</c:v>
                </c:pt>
                <c:pt idx="5">
                  <c:v>myosin complex [GO:0016459]</c:v>
                </c:pt>
                <c:pt idx="6">
                  <c:v>septin complex [GO:0031105] **</c:v>
                </c:pt>
                <c:pt idx="7">
                  <c:v>septin cytoskeleton [GO:0032156] **</c:v>
                </c:pt>
                <c:pt idx="8">
                  <c:v>actin binding [GO:0003779]</c:v>
                </c:pt>
                <c:pt idx="9">
                  <c:v>sterol biosynthetic process [GO:0016126] **</c:v>
                </c:pt>
                <c:pt idx="10">
                  <c:v>mating projection tip [GO:0043332]</c:v>
                </c:pt>
                <c:pt idx="11">
                  <c:v>actin filament binding [GO:0051015]</c:v>
                </c:pt>
                <c:pt idx="12">
                  <c:v>cell cortex [GO:0005938] **</c:v>
                </c:pt>
                <c:pt idx="13">
                  <c:v>cell division site [GO:0032153]</c:v>
                </c:pt>
                <c:pt idx="14">
                  <c:v>endoplasmic reticulum [GO:0005783] **</c:v>
                </c:pt>
                <c:pt idx="15">
                  <c:v>ergosterol biosynthetic process [GO:0006696] **</c:v>
                </c:pt>
                <c:pt idx="16">
                  <c:v>lipid droplet [GO:0005811] *</c:v>
                </c:pt>
                <c:pt idx="17">
                  <c:v>septin ring [GO:0005940] **</c:v>
                </c:pt>
                <c:pt idx="18">
                  <c:v>plasma membrane [GO:0005886] *</c:v>
                </c:pt>
                <c:pt idx="19">
                  <c:v>pyridoxal phosphate binding [GO:0030170]</c:v>
                </c:pt>
                <c:pt idx="20">
                  <c:v>ribosome [GO:0005840] *</c:v>
                </c:pt>
                <c:pt idx="21">
                  <c:v>structural constituent of ribosome [GO:0003735]</c:v>
                </c:pt>
                <c:pt idx="22">
                  <c:v>mitochondrial large ribosomal subunit [GO:0005762]</c:v>
                </c:pt>
              </c:strCache>
            </c:strRef>
          </c:cat>
          <c:val>
            <c:numRef>
              <c:f>'Exp vs N chart'!$B$30:$B$52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32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33</c:v>
                </c:pt>
                <c:pt idx="19">
                  <c:v>22</c:v>
                </c:pt>
                <c:pt idx="20">
                  <c:v>134</c:v>
                </c:pt>
                <c:pt idx="21">
                  <c:v>139</c:v>
                </c:pt>
                <c:pt idx="2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C-45FC-AC10-7991BABA8A14}"/>
            </c:ext>
          </c:extLst>
        </c:ser>
        <c:ser>
          <c:idx val="1"/>
          <c:order val="1"/>
          <c:tx>
            <c:strRef>
              <c:f>'Exp vs N chart'!$C$29</c:f>
              <c:strCache>
                <c:ptCount val="1"/>
                <c:pt idx="0">
                  <c:v>Genes (down)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'Exp vs N chart'!$A$30:$A$52</c:f>
              <c:strCache>
                <c:ptCount val="23"/>
                <c:pt idx="0">
                  <c:v>cell cortex of cell tip [GO:0051285]</c:v>
                </c:pt>
                <c:pt idx="1">
                  <c:v>intracellular calcium ion homeostasis [GO:0006874]</c:v>
                </c:pt>
                <c:pt idx="2">
                  <c:v>medial cortex [GO:0031097]</c:v>
                </c:pt>
                <c:pt idx="3">
                  <c:v>proteasome regulatory particle assembly [GO:0070682] *</c:v>
                </c:pt>
                <c:pt idx="4">
                  <c:v>cytoskeleton-dependent cytokinesis [GO:0061640] **</c:v>
                </c:pt>
                <c:pt idx="5">
                  <c:v>myosin complex [GO:0016459]</c:v>
                </c:pt>
                <c:pt idx="6">
                  <c:v>septin complex [GO:0031105] **</c:v>
                </c:pt>
                <c:pt idx="7">
                  <c:v>septin cytoskeleton [GO:0032156] **</c:v>
                </c:pt>
                <c:pt idx="8">
                  <c:v>actin binding [GO:0003779]</c:v>
                </c:pt>
                <c:pt idx="9">
                  <c:v>sterol biosynthetic process [GO:0016126] **</c:v>
                </c:pt>
                <c:pt idx="10">
                  <c:v>mating projection tip [GO:0043332]</c:v>
                </c:pt>
                <c:pt idx="11">
                  <c:v>actin filament binding [GO:0051015]</c:v>
                </c:pt>
                <c:pt idx="12">
                  <c:v>cell cortex [GO:0005938] **</c:v>
                </c:pt>
                <c:pt idx="13">
                  <c:v>cell division site [GO:0032153]</c:v>
                </c:pt>
                <c:pt idx="14">
                  <c:v>endoplasmic reticulum [GO:0005783] **</c:v>
                </c:pt>
                <c:pt idx="15">
                  <c:v>ergosterol biosynthetic process [GO:0006696] **</c:v>
                </c:pt>
                <c:pt idx="16">
                  <c:v>lipid droplet [GO:0005811] *</c:v>
                </c:pt>
                <c:pt idx="17">
                  <c:v>septin ring [GO:0005940] **</c:v>
                </c:pt>
                <c:pt idx="18">
                  <c:v>plasma membrane [GO:0005886] *</c:v>
                </c:pt>
                <c:pt idx="19">
                  <c:v>pyridoxal phosphate binding [GO:0030170]</c:v>
                </c:pt>
                <c:pt idx="20">
                  <c:v>ribosome [GO:0005840] *</c:v>
                </c:pt>
                <c:pt idx="21">
                  <c:v>structural constituent of ribosome [GO:0003735]</c:v>
                </c:pt>
                <c:pt idx="22">
                  <c:v>mitochondrial large ribosomal subunit [GO:0005762]</c:v>
                </c:pt>
              </c:strCache>
            </c:strRef>
          </c:cat>
          <c:val>
            <c:numRef>
              <c:f>'Exp vs N chart'!$C$30:$C$52</c:f>
              <c:numCache>
                <c:formatCode>General</c:formatCode>
                <c:ptCount val="2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29</c:v>
                </c:pt>
                <c:pt idx="9">
                  <c:v>11</c:v>
                </c:pt>
                <c:pt idx="10">
                  <c:v>16</c:v>
                </c:pt>
                <c:pt idx="11">
                  <c:v>23</c:v>
                </c:pt>
                <c:pt idx="12">
                  <c:v>23</c:v>
                </c:pt>
                <c:pt idx="13">
                  <c:v>32</c:v>
                </c:pt>
                <c:pt idx="14">
                  <c:v>182</c:v>
                </c:pt>
                <c:pt idx="15">
                  <c:v>16</c:v>
                </c:pt>
                <c:pt idx="16">
                  <c:v>10</c:v>
                </c:pt>
                <c:pt idx="17">
                  <c:v>5</c:v>
                </c:pt>
                <c:pt idx="18">
                  <c:v>152</c:v>
                </c:pt>
                <c:pt idx="19">
                  <c:v>16</c:v>
                </c:pt>
                <c:pt idx="20">
                  <c:v>11</c:v>
                </c:pt>
                <c:pt idx="21">
                  <c:v>9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C-45FC-AC10-7991BABA8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9537823"/>
        <c:axId val="1559534079"/>
      </c:barChart>
      <c:catAx>
        <c:axId val="155953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9534079"/>
        <c:crossesAt val="0"/>
        <c:auto val="0"/>
        <c:lblAlgn val="l"/>
        <c:lblOffset val="0"/>
        <c:noMultiLvlLbl val="0"/>
      </c:catAx>
      <c:valAx>
        <c:axId val="1559534079"/>
        <c:scaling>
          <c:orientation val="minMax"/>
          <c:max val="1"/>
        </c:scaling>
        <c:delete val="0"/>
        <c:axPos val="b"/>
        <c:numFmt formatCode="0%" sourceLinked="1"/>
        <c:majorTickMark val="cross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9537823"/>
        <c:crosses val="autoZero"/>
        <c:crossBetween val="between"/>
        <c:majorUnit val="0.2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6599359910945324"/>
          <c:y val="0.11804878048780487"/>
          <c:w val="0.40066835662636185"/>
          <c:h val="0.8081288276465441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'Exp vs N chart'!$B$29</c:f>
              <c:strCache>
                <c:ptCount val="1"/>
                <c:pt idx="0">
                  <c:v>Genes (up)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 vs N chart'!$A$55:$A$69</c:f>
              <c:strCache>
                <c:ptCount val="15"/>
                <c:pt idx="0">
                  <c:v>cytoskeleton-dependent cytokinesis [GO:0061640] **</c:v>
                </c:pt>
                <c:pt idx="1">
                  <c:v>protein N-linked glycosylation via asparagine [GO:0018279]</c:v>
                </c:pt>
                <c:pt idx="2">
                  <c:v>septin complex [GO:0031105] **</c:v>
                </c:pt>
                <c:pt idx="3">
                  <c:v>septin cytoskeleton [GO:0032156] **</c:v>
                </c:pt>
                <c:pt idx="4">
                  <c:v>cell cortex [GO:0005938] **</c:v>
                </c:pt>
                <c:pt idx="5">
                  <c:v>ergosterol biosynthetic process [GO:0006696] **</c:v>
                </c:pt>
                <c:pt idx="6">
                  <c:v>sterol biosynthetic process [GO:0016126] **</c:v>
                </c:pt>
                <c:pt idx="7">
                  <c:v>GTPase activator activity [GO:0005096]</c:v>
                </c:pt>
                <c:pt idx="8">
                  <c:v>septin ring [GO:0005940] **</c:v>
                </c:pt>
                <c:pt idx="9">
                  <c:v>endoplasmic reticulum [GO:0005783] **</c:v>
                </c:pt>
                <c:pt idx="10">
                  <c:v>lipid droplet [GO:0005811] *</c:v>
                </c:pt>
                <c:pt idx="11">
                  <c:v>plasma membrane [GO:0005886] *</c:v>
                </c:pt>
                <c:pt idx="12">
                  <c:v>acyltransferase activity [GO:0016746]</c:v>
                </c:pt>
                <c:pt idx="13">
                  <c:v>oxidoreductase activity [GO:0016491] *</c:v>
                </c:pt>
                <c:pt idx="14">
                  <c:v>oxidoreductase activity, acting on the CH-OH group of donors, NAD or NADP as acceptor [GO:0016616] *</c:v>
                </c:pt>
              </c:strCache>
            </c:strRef>
          </c:cat>
          <c:val>
            <c:numRef>
              <c:f>'Exp vs N chart'!$B$55:$B$69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1</c:v>
                </c:pt>
                <c:pt idx="9">
                  <c:v>44</c:v>
                </c:pt>
                <c:pt idx="10">
                  <c:v>3</c:v>
                </c:pt>
                <c:pt idx="11">
                  <c:v>50</c:v>
                </c:pt>
                <c:pt idx="12">
                  <c:v>21</c:v>
                </c:pt>
                <c:pt idx="13">
                  <c:v>121</c:v>
                </c:pt>
                <c:pt idx="1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F-44FB-B98A-8D503AE18A17}"/>
            </c:ext>
          </c:extLst>
        </c:ser>
        <c:ser>
          <c:idx val="1"/>
          <c:order val="1"/>
          <c:tx>
            <c:strRef>
              <c:f>'Exp vs N chart'!$C$29</c:f>
              <c:strCache>
                <c:ptCount val="1"/>
                <c:pt idx="0">
                  <c:v>Genes (down)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 vs N chart'!$A$55:$A$69</c:f>
              <c:strCache>
                <c:ptCount val="15"/>
                <c:pt idx="0">
                  <c:v>cytoskeleton-dependent cytokinesis [GO:0061640] **</c:v>
                </c:pt>
                <c:pt idx="1">
                  <c:v>protein N-linked glycosylation via asparagine [GO:0018279]</c:v>
                </c:pt>
                <c:pt idx="2">
                  <c:v>septin complex [GO:0031105] **</c:v>
                </c:pt>
                <c:pt idx="3">
                  <c:v>septin cytoskeleton [GO:0032156] **</c:v>
                </c:pt>
                <c:pt idx="4">
                  <c:v>cell cortex [GO:0005938] **</c:v>
                </c:pt>
                <c:pt idx="5">
                  <c:v>ergosterol biosynthetic process [GO:0006696] **</c:v>
                </c:pt>
                <c:pt idx="6">
                  <c:v>sterol biosynthetic process [GO:0016126] **</c:v>
                </c:pt>
                <c:pt idx="7">
                  <c:v>GTPase activator activity [GO:0005096]</c:v>
                </c:pt>
                <c:pt idx="8">
                  <c:v>septin ring [GO:0005940] **</c:v>
                </c:pt>
                <c:pt idx="9">
                  <c:v>endoplasmic reticulum [GO:0005783] **</c:v>
                </c:pt>
                <c:pt idx="10">
                  <c:v>lipid droplet [GO:0005811] *</c:v>
                </c:pt>
                <c:pt idx="11">
                  <c:v>plasma membrane [GO:0005886] *</c:v>
                </c:pt>
                <c:pt idx="12">
                  <c:v>acyltransferase activity [GO:0016746]</c:v>
                </c:pt>
                <c:pt idx="13">
                  <c:v>oxidoreductase activity [GO:0016491] *</c:v>
                </c:pt>
                <c:pt idx="14">
                  <c:v>oxidoreductase activity, acting on the CH-OH group of donors, NAD or NADP as acceptor [GO:0016616] *</c:v>
                </c:pt>
              </c:strCache>
            </c:strRef>
          </c:cat>
          <c:val>
            <c:numRef>
              <c:f>'Exp vs N chart'!$C$55:$C$69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25</c:v>
                </c:pt>
                <c:pt idx="5">
                  <c:v>18</c:v>
                </c:pt>
                <c:pt idx="6">
                  <c:v>11</c:v>
                </c:pt>
                <c:pt idx="7">
                  <c:v>31</c:v>
                </c:pt>
                <c:pt idx="8">
                  <c:v>5</c:v>
                </c:pt>
                <c:pt idx="9">
                  <c:v>166</c:v>
                </c:pt>
                <c:pt idx="10">
                  <c:v>9</c:v>
                </c:pt>
                <c:pt idx="11">
                  <c:v>132</c:v>
                </c:pt>
                <c:pt idx="12">
                  <c:v>24</c:v>
                </c:pt>
                <c:pt idx="13">
                  <c:v>93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F-44FB-B98A-8D503AE18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9537823"/>
        <c:axId val="1559534079"/>
      </c:barChart>
      <c:catAx>
        <c:axId val="155953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9534079"/>
        <c:crossesAt val="0"/>
        <c:auto val="0"/>
        <c:lblAlgn val="l"/>
        <c:lblOffset val="0"/>
        <c:noMultiLvlLbl val="0"/>
      </c:catAx>
      <c:valAx>
        <c:axId val="1559534079"/>
        <c:scaling>
          <c:orientation val="minMax"/>
          <c:max val="1"/>
        </c:scaling>
        <c:delete val="0"/>
        <c:axPos val="b"/>
        <c:numFmt formatCode="0%" sourceLinked="1"/>
        <c:majorTickMark val="cross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9537823"/>
        <c:crosses val="autoZero"/>
        <c:crossBetween val="between"/>
        <c:majorUnit val="0.2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4443606942294609"/>
          <c:y val="0.1068989501312336"/>
          <c:w val="0.40066835662636185"/>
          <c:h val="0.8081288276465441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'Exp vs N chart'!$B$29</c:f>
              <c:strCache>
                <c:ptCount val="1"/>
                <c:pt idx="0">
                  <c:v>Genes (up)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 vs N chart'!$A$72:$A$98</c:f>
              <c:strCache>
                <c:ptCount val="27"/>
                <c:pt idx="0">
                  <c:v>cytosolic small ribosomal subunit [GO:0022627]</c:v>
                </c:pt>
                <c:pt idx="1">
                  <c:v>small ribosomal subunit [GO:0015935]</c:v>
                </c:pt>
                <c:pt idx="2">
                  <c:v>phosphatidylinositol-4-phosphate binding [GO:0070273]</c:v>
                </c:pt>
                <c:pt idx="3">
                  <c:v>cytoskeleton-dependent cytokinesis [GO:0061640] **</c:v>
                </c:pt>
                <c:pt idx="4">
                  <c:v>protein O-linked mannosylation [GO:0035269]</c:v>
                </c:pt>
                <c:pt idx="5">
                  <c:v>septin complex [GO:0031105] **</c:v>
                </c:pt>
                <c:pt idx="6">
                  <c:v>septin cytoskeleton [GO:0032156] **</c:v>
                </c:pt>
                <c:pt idx="7">
                  <c:v>cytosolic large ribosomal subunit [GO:0022625]</c:v>
                </c:pt>
                <c:pt idx="8">
                  <c:v>sterol biosynthetic process [GO:0016126] **</c:v>
                </c:pt>
                <c:pt idx="9">
                  <c:v>cellular bud neck [GO:0005935]</c:v>
                </c:pt>
                <c:pt idx="10">
                  <c:v>cell periphery [GO:0071944]</c:v>
                </c:pt>
                <c:pt idx="11">
                  <c:v>ergosterol biosynthetic process [GO:0006696] **</c:v>
                </c:pt>
                <c:pt idx="12">
                  <c:v>cell cortex [GO:0005938] **</c:v>
                </c:pt>
                <c:pt idx="13">
                  <c:v>ribosome [GO:0005840] *</c:v>
                </c:pt>
                <c:pt idx="14">
                  <c:v>septin ring [GO:0005940] **</c:v>
                </c:pt>
                <c:pt idx="15">
                  <c:v>cytoskeletal motor activity [GO:0003774]</c:v>
                </c:pt>
                <c:pt idx="16">
                  <c:v>endoplasmic reticulum [GO:0005783] **</c:v>
                </c:pt>
                <c:pt idx="17">
                  <c:v>endocytic vesicle [GO:0030139]</c:v>
                </c:pt>
                <c:pt idx="18">
                  <c:v>oxidoreductase activity [GO:0016491] *</c:v>
                </c:pt>
                <c:pt idx="19">
                  <c:v>proteasome regulatory particle assembly [GO:0070682] *</c:v>
                </c:pt>
                <c:pt idx="20">
                  <c:v>heat shock protein binding [GO:0031072]</c:v>
                </c:pt>
                <c:pt idx="21">
                  <c:v>oxidoreductase activity, acting on the CH-OH group of donors, NAD or NADP as acceptor [GO:0016616] *</c:v>
                </c:pt>
                <c:pt idx="22">
                  <c:v>protein refolding [GO:0042026]</c:v>
                </c:pt>
                <c:pt idx="23">
                  <c:v>positive regulation of macromolecule metabolic process [GO:0010604]</c:v>
                </c:pt>
                <c:pt idx="24">
                  <c:v>positive regulation of proteasomal protein catabolic process [GO:1901800]</c:v>
                </c:pt>
                <c:pt idx="25">
                  <c:v>proteasome-activating activity [GO:0036402]</c:v>
                </c:pt>
                <c:pt idx="26">
                  <c:v>chaperone cofactor-dependent protein refolding [GO:0051085]</c:v>
                </c:pt>
              </c:strCache>
            </c:strRef>
          </c:cat>
          <c:val>
            <c:numRef>
              <c:f>'Exp vs N chart'!$B$72:$B$98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20</c:v>
                </c:pt>
                <c:pt idx="14">
                  <c:v>1</c:v>
                </c:pt>
                <c:pt idx="15">
                  <c:v>2</c:v>
                </c:pt>
                <c:pt idx="16">
                  <c:v>61</c:v>
                </c:pt>
                <c:pt idx="17">
                  <c:v>4</c:v>
                </c:pt>
                <c:pt idx="18">
                  <c:v>127</c:v>
                </c:pt>
                <c:pt idx="19">
                  <c:v>5</c:v>
                </c:pt>
                <c:pt idx="20">
                  <c:v>8</c:v>
                </c:pt>
                <c:pt idx="21">
                  <c:v>22</c:v>
                </c:pt>
                <c:pt idx="22">
                  <c:v>14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3-4A30-B1E4-ADFA3E7B6F5F}"/>
            </c:ext>
          </c:extLst>
        </c:ser>
        <c:ser>
          <c:idx val="1"/>
          <c:order val="1"/>
          <c:tx>
            <c:strRef>
              <c:f>'Exp vs N chart'!$C$29</c:f>
              <c:strCache>
                <c:ptCount val="1"/>
                <c:pt idx="0">
                  <c:v>Genes (down)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 vs N chart'!$A$72:$A$98</c:f>
              <c:strCache>
                <c:ptCount val="27"/>
                <c:pt idx="0">
                  <c:v>cytosolic small ribosomal subunit [GO:0022627]</c:v>
                </c:pt>
                <c:pt idx="1">
                  <c:v>small ribosomal subunit [GO:0015935]</c:v>
                </c:pt>
                <c:pt idx="2">
                  <c:v>phosphatidylinositol-4-phosphate binding [GO:0070273]</c:v>
                </c:pt>
                <c:pt idx="3">
                  <c:v>cytoskeleton-dependent cytokinesis [GO:0061640] **</c:v>
                </c:pt>
                <c:pt idx="4">
                  <c:v>protein O-linked mannosylation [GO:0035269]</c:v>
                </c:pt>
                <c:pt idx="5">
                  <c:v>septin complex [GO:0031105] **</c:v>
                </c:pt>
                <c:pt idx="6">
                  <c:v>septin cytoskeleton [GO:0032156] **</c:v>
                </c:pt>
                <c:pt idx="7">
                  <c:v>cytosolic large ribosomal subunit [GO:0022625]</c:v>
                </c:pt>
                <c:pt idx="8">
                  <c:v>sterol biosynthetic process [GO:0016126] **</c:v>
                </c:pt>
                <c:pt idx="9">
                  <c:v>cellular bud neck [GO:0005935]</c:v>
                </c:pt>
                <c:pt idx="10">
                  <c:v>cell periphery [GO:0071944]</c:v>
                </c:pt>
                <c:pt idx="11">
                  <c:v>ergosterol biosynthetic process [GO:0006696] **</c:v>
                </c:pt>
                <c:pt idx="12">
                  <c:v>cell cortex [GO:0005938] **</c:v>
                </c:pt>
                <c:pt idx="13">
                  <c:v>ribosome [GO:0005840] *</c:v>
                </c:pt>
                <c:pt idx="14">
                  <c:v>septin ring [GO:0005940] **</c:v>
                </c:pt>
                <c:pt idx="15">
                  <c:v>cytoskeletal motor activity [GO:0003774]</c:v>
                </c:pt>
                <c:pt idx="16">
                  <c:v>endoplasmic reticulum [GO:0005783] **</c:v>
                </c:pt>
                <c:pt idx="17">
                  <c:v>endocytic vesicle [GO:0030139]</c:v>
                </c:pt>
                <c:pt idx="18">
                  <c:v>oxidoreductase activity [GO:0016491] *</c:v>
                </c:pt>
                <c:pt idx="19">
                  <c:v>proteasome regulatory particle assembly [GO:0070682] *</c:v>
                </c:pt>
                <c:pt idx="20">
                  <c:v>heat shock protein binding [GO:0031072]</c:v>
                </c:pt>
                <c:pt idx="21">
                  <c:v>oxidoreductase activity, acting on the CH-OH group of donors, NAD or NADP as acceptor [GO:0016616] *</c:v>
                </c:pt>
                <c:pt idx="22">
                  <c:v>protein refolding [GO:0042026]</c:v>
                </c:pt>
                <c:pt idx="23">
                  <c:v>positive regulation of macromolecule metabolic process [GO:0010604]</c:v>
                </c:pt>
                <c:pt idx="24">
                  <c:v>positive regulation of proteasomal protein catabolic process [GO:1901800]</c:v>
                </c:pt>
                <c:pt idx="25">
                  <c:v>proteasome-activating activity [GO:0036402]</c:v>
                </c:pt>
                <c:pt idx="26">
                  <c:v>chaperone cofactor-dependent protein refolding [GO:0051085]</c:v>
                </c:pt>
              </c:strCache>
            </c:strRef>
          </c:cat>
          <c:val>
            <c:numRef>
              <c:f>'Exp vs N chart'!$C$72:$C$98</c:f>
              <c:numCache>
                <c:formatCode>General</c:formatCode>
                <c:ptCount val="27"/>
                <c:pt idx="0">
                  <c:v>29</c:v>
                </c:pt>
                <c:pt idx="1">
                  <c:v>13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44</c:v>
                </c:pt>
                <c:pt idx="8">
                  <c:v>11</c:v>
                </c:pt>
                <c:pt idx="9">
                  <c:v>21</c:v>
                </c:pt>
                <c:pt idx="10">
                  <c:v>9</c:v>
                </c:pt>
                <c:pt idx="11">
                  <c:v>17</c:v>
                </c:pt>
                <c:pt idx="12">
                  <c:v>23</c:v>
                </c:pt>
                <c:pt idx="13">
                  <c:v>125</c:v>
                </c:pt>
                <c:pt idx="14">
                  <c:v>5</c:v>
                </c:pt>
                <c:pt idx="15">
                  <c:v>8</c:v>
                </c:pt>
                <c:pt idx="16">
                  <c:v>147</c:v>
                </c:pt>
                <c:pt idx="17">
                  <c:v>3</c:v>
                </c:pt>
                <c:pt idx="18">
                  <c:v>91</c:v>
                </c:pt>
                <c:pt idx="19">
                  <c:v>2</c:v>
                </c:pt>
                <c:pt idx="20">
                  <c:v>3</c:v>
                </c:pt>
                <c:pt idx="21">
                  <c:v>8</c:v>
                </c:pt>
                <c:pt idx="22">
                  <c:v>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3-4A30-B1E4-ADFA3E7B6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9537823"/>
        <c:axId val="1559534079"/>
      </c:barChart>
      <c:catAx>
        <c:axId val="155953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9534079"/>
        <c:crossesAt val="0"/>
        <c:auto val="0"/>
        <c:lblAlgn val="l"/>
        <c:lblOffset val="0"/>
        <c:noMultiLvlLbl val="0"/>
      </c:catAx>
      <c:valAx>
        <c:axId val="1559534079"/>
        <c:scaling>
          <c:orientation val="minMax"/>
          <c:max val="1"/>
        </c:scaling>
        <c:delete val="0"/>
        <c:axPos val="b"/>
        <c:numFmt formatCode="0%" sourceLinked="1"/>
        <c:majorTickMark val="cross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9537823"/>
        <c:crosses val="autoZero"/>
        <c:crossBetween val="between"/>
        <c:majorUnit val="0.2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0</xdr:row>
      <xdr:rowOff>114299</xdr:rowOff>
    </xdr:from>
    <xdr:to>
      <xdr:col>18</xdr:col>
      <xdr:colOff>466725</xdr:colOff>
      <xdr:row>25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5554F0-5CBB-4F4F-BD2F-1B667B5FD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104775</xdr:colOff>
      <xdr:row>27</xdr:row>
      <xdr:rowOff>171450</xdr:rowOff>
    </xdr:from>
    <xdr:to>
      <xdr:col>17</xdr:col>
      <xdr:colOff>609600</xdr:colOff>
      <xdr:row>52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C96072-0D10-435D-8397-6B10E7EF4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47627</xdr:colOff>
      <xdr:row>53</xdr:row>
      <xdr:rowOff>9525</xdr:rowOff>
    </xdr:from>
    <xdr:to>
      <xdr:col>22</xdr:col>
      <xdr:colOff>657225</xdr:colOff>
      <xdr:row>75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6BFEFA-3433-4A99-B9BF-53B0621A5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44450</xdr:colOff>
      <xdr:row>77</xdr:row>
      <xdr:rowOff>13608</xdr:rowOff>
    </xdr:from>
    <xdr:to>
      <xdr:col>22</xdr:col>
      <xdr:colOff>627740</xdr:colOff>
      <xdr:row>102</xdr:row>
      <xdr:rowOff>58058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214377-4449-4A52-9542-5E46F4588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624.666418402776" createdVersion="7" refreshedVersion="7" minRefreshableVersion="3" recordCount="169" xr:uid="{229A8D63-87A5-4F50-A09D-6A00E38A4F88}">
  <cacheSource type="worksheet">
    <worksheetSource name="Table1"/>
  </cacheSource>
  <cacheFields count="20">
    <cacheField name="Comparison" numFmtId="0">
      <sharedItems count="9">
        <s v="SBY145 E vs N"/>
        <s v="SBY147 e vs N"/>
        <s v="SBY147 e vs SBY145 e"/>
        <s v="SBY148 e vs N"/>
        <s v="SBY148 e vs SBY145 e"/>
        <s v="SBY148 n vs SBY145 n"/>
        <s v="SBY160 e vs N"/>
        <s v="SBY160 e vs SBY145 e"/>
        <s v="SBY160 n vs SBY145 n"/>
      </sharedItems>
    </cacheField>
    <cacheField name="Name" numFmtId="0">
      <sharedItems count="84">
        <s v="fungal-type vacuole membrane [GO:0000329]"/>
        <s v="proteasome-mediated ubiquitin-dependent protein catabolic process [GO:0043161]"/>
        <s v="proteasomal ubiquitin-independent protein catabolic process [GO:0010499]"/>
        <s v="cytosolic small ribosomal subunit [GO:0022627]"/>
        <s v="chaperone cofactor-dependent protein refolding [GO:0051085]"/>
        <s v="ribosome [GO:0005840]"/>
        <s v="structural constituent of ribosome [GO:0003735]"/>
        <s v="translation [GO:0006412]"/>
        <s v="ribonucleoprotein complex [GO:1990904]"/>
        <s v="cytosolic large ribosomal subunit [GO:0022625]"/>
        <s v="mitochondrial large ribosomal subunit [GO:0005762]"/>
        <s v="small ribosomal subunit [GO:0015935]"/>
        <s v="mitochondrial translation [GO:0032543]"/>
        <s v="mitochondrial small ribosomal subunit [GO:0005763]"/>
        <s v="proteasome complex [GO:0000502]"/>
        <s v="proteasome storage granule [GO:0034515]"/>
        <s v="vacuole [GO:0005773]"/>
        <s v="proteasome core complex [GO:0005839]"/>
        <s v="vacuolar membrane [GO:0005774]"/>
        <s v="aromatic amino acid family biosynthetic process [GO:0009073]"/>
        <s v="cytoplasmic translation [GO:0002181]"/>
        <s v="GID complex [GO:0034657]"/>
        <s v="chitin biosynthetic process [GO:0006031]"/>
        <s v="heat shock protein binding [GO:0031072]"/>
        <s v="amino acid metabolic process [GO:0006520]"/>
        <s v="proteasome core complex, alpha-subunit complex [GO:0019773]"/>
        <s v="methionine biosynthetic process [GO:0009086]"/>
        <s v="translational initiation [GO:0006413]"/>
        <s v="protein refolding [GO:0042026]"/>
        <s v="large ribosomal subunit [GO:0015934]"/>
        <s v="plasma membrane [GO:0005886]"/>
        <s v="translation initiation factor activity [GO:0003743]"/>
        <s v="amino acid biosynthetic process [GO:0008652]"/>
        <s v="phosphatidylinositol binding [GO:0035091]"/>
        <s v="ATP-dependent protein folding chaperone [GO:0140662]"/>
        <s v="cell cortex [GO:0005938]"/>
        <s v="actin binding [GO:0003779]"/>
        <s v="actin filament binding [GO:0051015]"/>
        <s v="cell division site [GO:0032153]"/>
        <s v="ergosterol biosynthetic process [GO:0006696]"/>
        <s v="septin ring [GO:0005940]"/>
        <s v="endoplasmic reticulum [GO:0005783]"/>
        <s v="mating projection tip [GO:0043332]"/>
        <s v="sterol biosynthetic process [GO:0016126]"/>
        <s v="intracellular calcium ion homeostasis [GO:0006874]"/>
        <s v="septin cytoskeleton [GO:0032156]"/>
        <s v="septin complex [GO:0031105]"/>
        <s v="cytoskeleton-dependent cytokinesis [GO:0061640]"/>
        <s v="cell cortex of cell tip [GO:0051285]"/>
        <s v="pyridoxal phosphate binding [GO:0030170]"/>
        <s v="proteasome regulatory particle assembly [GO:0070682]"/>
        <s v="myosin complex [GO:0016459]"/>
        <s v="lipid droplet [GO:0005811]"/>
        <s v="medial cortex [GO:0031097]"/>
        <s v="eukaryotic translation initiation factor 3 complex, eIF3e [GO:0071540]"/>
        <s v="eukaryotic translation initiation factor 3 complex, eIF3m [GO:0071541]"/>
        <s v="vacuolar acidification [GO:0007035]"/>
        <s v="oxidoreductase activity [GO:0016491]"/>
        <s v="oxidoreductase activity, acting on the CH-OH group of donors, NAD or NADP as acceptor [GO:0016616]"/>
        <s v="protein N-linked glycosylation via asparagine [GO:0018279]"/>
        <s v="acyltransferase activity [GO:0016746]"/>
        <s v="GTPase activator activity [GO:0005096]"/>
        <s v="oligopeptide transmembrane transporter activity [GO:0035673]"/>
        <s v="peptide transport [GO:0015833]"/>
        <s v="oligopeptide transmembrane transport [GO:0035672]"/>
        <s v="ligase activity [GO:0016874]"/>
        <s v="lysine biosynthetic process via aminoadipic acid [GO:0019878]"/>
        <s v="lysine biosynthetic process [GO:0009085]"/>
        <s v="eukaryotic 48S preinitiation complex [GO:0033290]"/>
        <s v="phosphatidylinositol-3-phosphate binding [GO:0032266]"/>
        <s v="formation of cytoplasmic translation initiation complex [GO:0001732]"/>
        <s v="peptidase activity [GO:0008233]"/>
        <s v="eukaryotic translation initiation factor 3 complex [GO:0005852]"/>
        <s v="branched-chain amino acid biosynthetic process [GO:0009082]"/>
        <s v="L-valine biosynthetic process [GO:0009099]"/>
        <s v="cell periphery [GO:0071944]"/>
        <s v="endocytic vesicle [GO:0030139]"/>
        <s v="cytoskeletal motor activity [GO:0003774]"/>
        <s v="phosphatidylinositol-4-phosphate binding [GO:0070273]"/>
        <s v="positive regulation of macromolecule metabolic process [GO:0010604]"/>
        <s v="proteasome-activating activity [GO:0036402]"/>
        <s v="positive regulation of proteasomal protein catabolic process [GO:1901800]"/>
        <s v="cellular bud neck [GO:0005935]"/>
        <s v="protein O-linked mannosylation [GO:0035269]"/>
      </sharedItems>
    </cacheField>
    <cacheField name="Genes (tot)" numFmtId="0">
      <sharedItems containsSemiMixedTypes="0" containsString="0" containsNumber="1" containsInteger="1" minValue="5" maxValue="218"/>
    </cacheField>
    <cacheField name="Stat (dist.dir.up)" numFmtId="0">
      <sharedItems containsSemiMixedTypes="0" containsString="0" containsNumber="1" minValue="5.3096000000000003E-3" maxValue="0.99683999999999995"/>
    </cacheField>
    <cacheField name="p (dist.dir.up)" numFmtId="0">
      <sharedItems containsSemiMixedTypes="0" containsString="0" containsNumber="1" minValue="1E-4" maxValue="1"/>
    </cacheField>
    <cacheField name="p adj (dist.dir.up)" numFmtId="0">
      <sharedItems containsSemiMixedTypes="0" containsString="0" containsNumber="1" minValue="3.1928E-3" maxValue="1"/>
    </cacheField>
    <cacheField name="Stat (dist.dir.dn)" numFmtId="0">
      <sharedItems containsSemiMixedTypes="0" containsString="0" containsNumber="1" minValue="3.1640000000000001E-3" maxValue="0.99468999999999996"/>
    </cacheField>
    <cacheField name="p (dist.dir.dn)" numFmtId="0">
      <sharedItems containsSemiMixedTypes="0" containsString="0" containsNumber="1" minValue="1E-4" maxValue="1"/>
    </cacheField>
    <cacheField name="p adj (dist.dir.dn)" numFmtId="0">
      <sharedItems containsSemiMixedTypes="0" containsString="0" containsNumber="1" minValue="1.6869000000000001E-3" maxValue="1"/>
    </cacheField>
    <cacheField name="Stat (non-dir.)" numFmtId="0">
      <sharedItems containsSemiMixedTypes="0" containsString="0" containsNumber="1" minValue="6.3279E-3" maxValue="0.47384999999999999"/>
    </cacheField>
    <cacheField name="p (non-dir.)" numFmtId="0">
      <sharedItems containsSemiMixedTypes="0" containsString="0" containsNumber="1" minValue="1E-4" maxValue="1.4999E-3"/>
    </cacheField>
    <cacheField name="p adj (non-dir.)" numFmtId="0">
      <sharedItems containsSemiMixedTypes="0" containsString="0" containsNumber="1" minValue="6.6135999999999999E-3" maxValue="4.9639000000000003E-2"/>
    </cacheField>
    <cacheField name="Genes (up)" numFmtId="0">
      <sharedItems containsSemiMixedTypes="0" containsString="0" containsNumber="1" containsInteger="1" minValue="0" maxValue="139"/>
    </cacheField>
    <cacheField name="Stat (mix.dir.up)" numFmtId="0">
      <sharedItems containsMixedTypes="1" containsNumber="1" minValue="5.6058999999999996E-3" maxValue="0.86772000000000005"/>
    </cacheField>
    <cacheField name="p (mix.dir.up)" numFmtId="0">
      <sharedItems containsMixedTypes="1" containsNumber="1" minValue="1E-4" maxValue="0.99970000000000003"/>
    </cacheField>
    <cacheField name="p adj (mix.dir.up)" numFmtId="0">
      <sharedItems containsMixedTypes="1" containsNumber="1" minValue="1.5532000000000001E-2" maxValue="1"/>
    </cacheField>
    <cacheField name="Genes (down)" numFmtId="0">
      <sharedItems containsSemiMixedTypes="0" containsString="0" containsNumber="1" containsInteger="1" minValue="0" maxValue="182"/>
    </cacheField>
    <cacheField name="Stat (mix.dir.dn)" numFmtId="0">
      <sharedItems containsMixedTypes="1" containsNumber="1" minValue="4.3169999999999997E-3" maxValue="0.84994000000000003"/>
    </cacheField>
    <cacheField name="p (mix.dir.dn)" numFmtId="0">
      <sharedItems containsMixedTypes="1" containsNumber="1" minValue="1E-4" maxValue="1"/>
    </cacheField>
    <cacheField name="p adj (mix.dir.dn)" numFmtId="0">
      <sharedItems containsMixedTypes="1" containsNumber="1" minValue="5.6208999999999999E-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x v="0"/>
    <n v="52"/>
    <n v="5.4845999999999999E-2"/>
    <n v="1E-4"/>
    <n v="3.1928E-3"/>
    <n v="0.94515000000000005"/>
    <n v="1"/>
    <n v="1"/>
    <n v="5.7255E-2"/>
    <n v="1E-4"/>
    <n v="6.6135999999999999E-3"/>
    <n v="50"/>
    <n v="4.6811999999999999E-2"/>
    <n v="1E-4"/>
    <n v="1.8058000000000001E-2"/>
    <n v="2"/>
    <n v="0.31831999999999999"/>
    <n v="0.73282999999999998"/>
    <n v="1"/>
  </r>
  <r>
    <x v="0"/>
    <x v="1"/>
    <n v="48"/>
    <n v="5.0146999999999997E-2"/>
    <n v="1E-4"/>
    <n v="3.1928E-3"/>
    <n v="0.94984999999999997"/>
    <n v="1"/>
    <n v="1"/>
    <n v="6.1795999999999997E-2"/>
    <n v="1E-4"/>
    <n v="6.6135999999999999E-3"/>
    <n v="47"/>
    <n v="6.1492999999999999E-2"/>
    <n v="1E-4"/>
    <n v="1.8058000000000001E-2"/>
    <n v="1"/>
    <n v="7.6063000000000006E-2"/>
    <n v="0.53095000000000003"/>
    <n v="1"/>
  </r>
  <r>
    <x v="0"/>
    <x v="2"/>
    <n v="15"/>
    <n v="1.2201E-2"/>
    <n v="1E-4"/>
    <n v="3.1928E-3"/>
    <n v="0.98780000000000001"/>
    <n v="1"/>
    <n v="1"/>
    <n v="2.4402E-2"/>
    <n v="1E-4"/>
    <n v="6.6135999999999999E-3"/>
    <n v="15"/>
    <n v="2.4402E-2"/>
    <n v="1E-4"/>
    <n v="1.8058000000000001E-2"/>
    <n v="0"/>
    <s v="NA"/>
    <s v="NA"/>
    <s v="NA"/>
  </r>
  <r>
    <x v="0"/>
    <x v="3"/>
    <n v="29"/>
    <n v="0.95543"/>
    <n v="1"/>
    <n v="1"/>
    <n v="4.4568000000000003E-2"/>
    <n v="1E-4"/>
    <n v="1.97E-3"/>
    <n v="2.0556000000000001E-2"/>
    <n v="1E-4"/>
    <n v="6.6135999999999999E-3"/>
    <n v="1"/>
    <n v="5.6058999999999996E-3"/>
    <n v="6.1393999999999997E-2"/>
    <n v="0.51812000000000002"/>
    <n v="28"/>
    <n v="2.1090000000000001E-2"/>
    <n v="1E-4"/>
    <n v="7.5691999999999999E-3"/>
  </r>
  <r>
    <x v="0"/>
    <x v="4"/>
    <n v="13"/>
    <n v="0.76537999999999995"/>
    <n v="0.99980000000000002"/>
    <n v="1"/>
    <n v="0.23462"/>
    <n v="2.9996999999999999E-4"/>
    <n v="4.7080000000000004E-3"/>
    <n v="2.1857000000000001E-2"/>
    <n v="1E-4"/>
    <n v="6.6135999999999999E-3"/>
    <n v="3"/>
    <n v="3.0661000000000001E-2"/>
    <n v="8.2792000000000004E-2"/>
    <n v="0.57508000000000004"/>
    <n v="10"/>
    <n v="1.9216E-2"/>
    <n v="4.9994999999999998E-4"/>
    <n v="2.8385000000000001E-2"/>
  </r>
  <r>
    <x v="0"/>
    <x v="5"/>
    <n v="123"/>
    <n v="0.96453"/>
    <n v="1"/>
    <n v="1"/>
    <n v="3.5471000000000003E-2"/>
    <n v="1E-4"/>
    <n v="1.97E-3"/>
    <n v="2.4702000000000002E-2"/>
    <n v="1E-4"/>
    <n v="6.6135999999999999E-3"/>
    <n v="3"/>
    <n v="5.2094000000000001E-2"/>
    <n v="0.18398"/>
    <n v="0.79491000000000001"/>
    <n v="120"/>
    <n v="2.4017E-2"/>
    <n v="1E-4"/>
    <n v="7.5691999999999999E-3"/>
  </r>
  <r>
    <x v="0"/>
    <x v="6"/>
    <n v="126"/>
    <n v="0.97287000000000001"/>
    <n v="1"/>
    <n v="1"/>
    <n v="2.7126999999999998E-2"/>
    <n v="1E-4"/>
    <n v="1.97E-3"/>
    <n v="2.4024E-2"/>
    <n v="1E-4"/>
    <n v="6.6135999999999999E-3"/>
    <n v="2"/>
    <n v="4.7737000000000002E-2"/>
    <n v="0.24598"/>
    <n v="0.82782999999999995"/>
    <n v="124"/>
    <n v="2.3642E-2"/>
    <n v="1E-4"/>
    <n v="7.5691999999999999E-3"/>
  </r>
  <r>
    <x v="0"/>
    <x v="7"/>
    <n v="172"/>
    <n v="0.93071999999999999"/>
    <n v="1"/>
    <n v="1"/>
    <n v="6.9278000000000006E-2"/>
    <n v="1E-4"/>
    <n v="1.97E-3"/>
    <n v="6.4765000000000003E-2"/>
    <n v="1E-4"/>
    <n v="6.6135999999999999E-3"/>
    <n v="9"/>
    <n v="0.29488999999999999"/>
    <n v="0.94240999999999997"/>
    <n v="1"/>
    <n v="163"/>
    <n v="5.2059000000000001E-2"/>
    <n v="1E-4"/>
    <n v="7.5691999999999999E-3"/>
  </r>
  <r>
    <x v="0"/>
    <x v="8"/>
    <n v="162"/>
    <n v="0.78530999999999995"/>
    <n v="1"/>
    <n v="1"/>
    <n v="0.21468999999999999"/>
    <n v="1E-4"/>
    <n v="1.97E-3"/>
    <n v="8.3948999999999996E-2"/>
    <n v="1E-4"/>
    <n v="6.6135999999999999E-3"/>
    <n v="35"/>
    <n v="0.20058999999999999"/>
    <n v="0.82382"/>
    <n v="1"/>
    <n v="127"/>
    <n v="5.1804999999999997E-2"/>
    <n v="1E-4"/>
    <n v="7.5691999999999999E-3"/>
  </r>
  <r>
    <x v="0"/>
    <x v="9"/>
    <n v="42"/>
    <n v="0.97077999999999998"/>
    <n v="1"/>
    <n v="1"/>
    <n v="2.9221E-2"/>
    <n v="1E-4"/>
    <n v="1.97E-3"/>
    <n v="3.9330999999999998E-2"/>
    <n v="1E-4"/>
    <n v="6.6135999999999999E-3"/>
    <n v="1"/>
    <n v="0.59865000000000002"/>
    <n v="0.92340999999999995"/>
    <n v="1"/>
    <n v="41"/>
    <n v="2.5689E-2"/>
    <n v="1E-4"/>
    <n v="7.5691999999999999E-3"/>
  </r>
  <r>
    <x v="0"/>
    <x v="10"/>
    <n v="29"/>
    <n v="0.99353000000000002"/>
    <n v="1"/>
    <n v="1"/>
    <n v="6.4656000000000002E-3"/>
    <n v="1E-4"/>
    <n v="1.97E-3"/>
    <n v="1.2931E-2"/>
    <n v="1E-4"/>
    <n v="6.6135999999999999E-3"/>
    <n v="0"/>
    <s v="NA"/>
    <s v="NA"/>
    <s v="NA"/>
    <n v="29"/>
    <n v="1.2931E-2"/>
    <n v="1E-4"/>
    <n v="7.5691999999999999E-3"/>
  </r>
  <r>
    <x v="0"/>
    <x v="11"/>
    <n v="12"/>
    <n v="0.99297999999999997"/>
    <n v="1"/>
    <n v="1"/>
    <n v="7.0152000000000001E-3"/>
    <n v="1E-4"/>
    <n v="1.97E-3"/>
    <n v="1.4030000000000001E-2"/>
    <n v="1E-4"/>
    <n v="6.6135999999999999E-3"/>
    <n v="0"/>
    <s v="NA"/>
    <s v="NA"/>
    <s v="NA"/>
    <n v="12"/>
    <n v="1.4030000000000001E-2"/>
    <n v="1E-4"/>
    <n v="7.5691999999999999E-3"/>
  </r>
  <r>
    <x v="0"/>
    <x v="12"/>
    <n v="24"/>
    <n v="0.98499000000000003"/>
    <n v="1"/>
    <n v="1"/>
    <n v="1.5010000000000001E-2"/>
    <n v="1E-4"/>
    <n v="1.97E-3"/>
    <n v="3.0019000000000001E-2"/>
    <n v="1E-4"/>
    <n v="6.6135999999999999E-3"/>
    <n v="0"/>
    <s v="NA"/>
    <s v="NA"/>
    <s v="NA"/>
    <n v="24"/>
    <n v="3.0019000000000001E-2"/>
    <n v="1E-4"/>
    <n v="7.5691999999999999E-3"/>
  </r>
  <r>
    <x v="0"/>
    <x v="13"/>
    <n v="13"/>
    <n v="0.99599000000000004"/>
    <n v="1"/>
    <n v="1"/>
    <n v="4.0067000000000002E-3"/>
    <n v="1E-4"/>
    <n v="1.97E-3"/>
    <n v="8.0134000000000004E-3"/>
    <n v="1E-4"/>
    <n v="6.6135999999999999E-3"/>
    <n v="0"/>
    <s v="NA"/>
    <s v="NA"/>
    <s v="NA"/>
    <n v="13"/>
    <n v="8.0134000000000004E-3"/>
    <n v="1E-4"/>
    <n v="7.5691999999999999E-3"/>
  </r>
  <r>
    <x v="0"/>
    <x v="14"/>
    <n v="34"/>
    <n v="2.4813000000000002E-2"/>
    <n v="1E-4"/>
    <n v="3.1928E-3"/>
    <n v="0.97519"/>
    <n v="1"/>
    <n v="1"/>
    <n v="4.9626000000000003E-2"/>
    <n v="1.9997999999999999E-4"/>
    <n v="1.0288E-2"/>
    <n v="34"/>
    <n v="4.9626000000000003E-2"/>
    <n v="1E-4"/>
    <n v="1.8058000000000001E-2"/>
    <n v="0"/>
    <s v="NA"/>
    <s v="NA"/>
    <s v="NA"/>
  </r>
  <r>
    <x v="0"/>
    <x v="15"/>
    <n v="12"/>
    <n v="9.2660999999999993E-3"/>
    <n v="1E-4"/>
    <n v="3.1928E-3"/>
    <n v="0.99073"/>
    <n v="1"/>
    <n v="1"/>
    <n v="1.8532E-2"/>
    <n v="1.9997999999999999E-4"/>
    <n v="1.0288E-2"/>
    <n v="12"/>
    <n v="1.8532E-2"/>
    <n v="1E-4"/>
    <n v="1.8058000000000001E-2"/>
    <n v="0"/>
    <s v="NA"/>
    <s v="NA"/>
    <s v="NA"/>
  </r>
  <r>
    <x v="0"/>
    <x v="16"/>
    <n v="30"/>
    <n v="5.2060000000000002E-2"/>
    <n v="1E-4"/>
    <n v="3.1928E-3"/>
    <n v="0.94794"/>
    <n v="1"/>
    <n v="1"/>
    <n v="5.7702999999999997E-2"/>
    <n v="1.9997999999999999E-4"/>
    <n v="1.0288E-2"/>
    <n v="29"/>
    <n v="4.9217999999999998E-2"/>
    <n v="1.9997999999999999E-4"/>
    <n v="2.0065E-2"/>
    <n v="1"/>
    <n v="0.30375999999999997"/>
    <n v="0.74522999999999995"/>
    <n v="1"/>
  </r>
  <r>
    <x v="0"/>
    <x v="17"/>
    <n v="14"/>
    <n v="1.3001E-2"/>
    <n v="1E-4"/>
    <n v="3.1928E-3"/>
    <n v="0.98699999999999999"/>
    <n v="1"/>
    <n v="1"/>
    <n v="2.6002999999999998E-2"/>
    <n v="1.9997999999999999E-4"/>
    <n v="1.0288E-2"/>
    <n v="14"/>
    <n v="2.6002999999999998E-2"/>
    <n v="1.9997999999999999E-4"/>
    <n v="2.0065E-2"/>
    <n v="0"/>
    <s v="NA"/>
    <s v="NA"/>
    <s v="NA"/>
  </r>
  <r>
    <x v="0"/>
    <x v="18"/>
    <n v="39"/>
    <n v="7.4380000000000002E-2"/>
    <n v="1E-4"/>
    <n v="3.1928E-3"/>
    <n v="0.92562"/>
    <n v="1"/>
    <n v="1"/>
    <n v="7.17E-2"/>
    <n v="2.9996999999999999E-4"/>
    <n v="1.4619999999999999E-2"/>
    <n v="37"/>
    <n v="6.2134000000000002E-2"/>
    <n v="1.9997999999999999E-4"/>
    <n v="2.0065E-2"/>
    <n v="2"/>
    <n v="0.24865999999999999"/>
    <n v="0.65463000000000005"/>
    <n v="1"/>
  </r>
  <r>
    <x v="0"/>
    <x v="19"/>
    <n v="7"/>
    <n v="0.85370999999999997"/>
    <n v="0.99909999999999999"/>
    <n v="1"/>
    <n v="0.14629"/>
    <n v="9.9989999999999996E-4"/>
    <n v="1.2684000000000001E-2"/>
    <n v="1.5081000000000001E-2"/>
    <n v="3.9995999999999999E-4"/>
    <n v="1.7635999999999999E-2"/>
    <n v="1"/>
    <n v="2.8719000000000001E-2"/>
    <n v="0.30457000000000001"/>
    <n v="0.86692999999999998"/>
    <n v="6"/>
    <n v="1.2807000000000001E-2"/>
    <n v="1.4999E-3"/>
    <n v="6.6786999999999999E-2"/>
  </r>
  <r>
    <x v="0"/>
    <x v="20"/>
    <n v="24"/>
    <n v="0.93591000000000002"/>
    <n v="1"/>
    <n v="1"/>
    <n v="6.4088000000000006E-2"/>
    <n v="1E-4"/>
    <n v="1.97E-3"/>
    <n v="5.3452E-2"/>
    <n v="3.9995999999999999E-4"/>
    <n v="1.7635999999999999E-2"/>
    <n v="1"/>
    <n v="0.10331"/>
    <n v="0.59384000000000003"/>
    <n v="1"/>
    <n v="23"/>
    <n v="5.1284000000000003E-2"/>
    <n v="3.9995999999999999E-4"/>
    <n v="2.5231E-2"/>
  </r>
  <r>
    <x v="0"/>
    <x v="21"/>
    <n v="5"/>
    <n v="5.3096000000000003E-3"/>
    <n v="1.9997999999999999E-4"/>
    <n v="5.6115999999999996E-3"/>
    <n v="0.99468999999999996"/>
    <n v="0.99990000000000001"/>
    <n v="1"/>
    <n v="1.0619E-2"/>
    <n v="5.9993999999999998E-4"/>
    <n v="2.3147999999999998E-2"/>
    <n v="5"/>
    <n v="1.0619E-2"/>
    <n v="4.9994999999999998E-4"/>
    <n v="4.5144999999999998E-2"/>
    <n v="0"/>
    <s v="NA"/>
    <s v="NA"/>
    <s v="NA"/>
  </r>
  <r>
    <x v="0"/>
    <x v="22"/>
    <n v="5"/>
    <n v="0.79615000000000002"/>
    <n v="0.9929"/>
    <n v="1"/>
    <n v="0.20385"/>
    <n v="7.1992999999999996E-3"/>
    <n v="5.7970000000000001E-2"/>
    <n v="1.0782E-2"/>
    <n v="5.9993999999999998E-4"/>
    <n v="2.3147999999999998E-2"/>
    <n v="1"/>
    <n v="7.6987999999999996E-3"/>
    <n v="8.2392000000000007E-2"/>
    <n v="0.57508000000000004"/>
    <n v="4"/>
    <n v="1.1553000000000001E-2"/>
    <n v="8.0992000000000008E-3"/>
    <n v="0.25036999999999998"/>
  </r>
  <r>
    <x v="0"/>
    <x v="23"/>
    <n v="11"/>
    <n v="0.72504999999999997"/>
    <n v="0.99919999999999998"/>
    <n v="1"/>
    <n v="0.27495000000000003"/>
    <n v="8.9990999999999997E-4"/>
    <n v="1.1573999999999999E-2"/>
    <n v="2.5127E-2"/>
    <n v="5.9993999999999998E-4"/>
    <n v="2.3147999999999998E-2"/>
    <n v="3"/>
    <n v="3.7923999999999999E-2"/>
    <n v="0.11779000000000001"/>
    <n v="0.68776999999999999"/>
    <n v="8"/>
    <n v="2.0327999999999999E-2"/>
    <n v="2.5996999999999999E-3"/>
    <n v="0.10933"/>
  </r>
  <r>
    <x v="0"/>
    <x v="24"/>
    <n v="17"/>
    <n v="0.35324"/>
    <n v="0.52995000000000003"/>
    <n v="0.86477999999999999"/>
    <n v="0.64676"/>
    <n v="0.47015000000000001"/>
    <n v="1"/>
    <n v="3.7122000000000002E-2"/>
    <n v="7.9991999999999997E-4"/>
    <n v="2.9628999999999999E-2"/>
    <n v="11"/>
    <n v="2.9145999999999998E-2"/>
    <n v="1.0999E-3"/>
    <n v="7.0943000000000006E-2"/>
    <n v="6"/>
    <n v="5.1744999999999999E-2"/>
    <n v="6.3194E-2"/>
    <n v="0.75226999999999999"/>
  </r>
  <r>
    <x v="0"/>
    <x v="25"/>
    <n v="7"/>
    <n v="8.0642999999999999E-3"/>
    <n v="1E-4"/>
    <n v="3.1928E-3"/>
    <n v="0.99194000000000004"/>
    <n v="1"/>
    <n v="1"/>
    <n v="1.6129000000000001E-2"/>
    <n v="8.9990999999999997E-4"/>
    <n v="3.2051000000000003E-2"/>
    <n v="7"/>
    <n v="1.6129000000000001E-2"/>
    <n v="6.9992999999999997E-4"/>
    <n v="5.2670000000000002E-2"/>
    <n v="0"/>
    <s v="NA"/>
    <s v="NA"/>
    <s v="NA"/>
  </r>
  <r>
    <x v="0"/>
    <x v="26"/>
    <n v="11"/>
    <n v="0.72709000000000001"/>
    <n v="0.99919999999999998"/>
    <n v="1"/>
    <n v="0.27290999999999999"/>
    <n v="8.9990999999999997E-4"/>
    <n v="1.1573999999999999E-2"/>
    <n v="3.0152999999999999E-2"/>
    <n v="1.3998999999999999E-3"/>
    <n v="4.8009999999999997E-2"/>
    <n v="3"/>
    <n v="5.4628000000000003E-2"/>
    <n v="0.19667999999999999"/>
    <n v="0.80157"/>
    <n v="8"/>
    <n v="2.0974E-2"/>
    <n v="2.8996999999999998E-3"/>
    <n v="0.11552999999999999"/>
  </r>
  <r>
    <x v="0"/>
    <x v="27"/>
    <n v="37"/>
    <n v="0.84421000000000002"/>
    <n v="1"/>
    <n v="1"/>
    <n v="0.15579000000000001"/>
    <n v="1E-4"/>
    <n v="1.97E-3"/>
    <n v="7.9256999999999994E-2"/>
    <n v="1.4999E-3"/>
    <n v="4.9602E-2"/>
    <n v="5"/>
    <n v="0.14043"/>
    <n v="0.47025"/>
    <n v="0.93645"/>
    <n v="32"/>
    <n v="6.9697999999999996E-2"/>
    <n v="5.9993999999999998E-4"/>
    <n v="2.8385000000000001E-2"/>
  </r>
  <r>
    <x v="1"/>
    <x v="7"/>
    <n v="188"/>
    <n v="0.93401000000000001"/>
    <n v="1"/>
    <n v="1"/>
    <n v="6.5986000000000003E-2"/>
    <n v="1E-4"/>
    <n v="1.8787000000000001E-3"/>
    <n v="7.1994000000000002E-2"/>
    <n v="1E-4"/>
    <n v="8.8809000000000006E-3"/>
    <n v="9"/>
    <n v="0.37358000000000002"/>
    <n v="0.98160000000000003"/>
    <n v="1"/>
    <n v="179"/>
    <n v="5.6831E-2"/>
    <n v="1E-4"/>
    <n v="5.8279999999999998E-3"/>
  </r>
  <r>
    <x v="1"/>
    <x v="6"/>
    <n v="140"/>
    <n v="0.96238000000000001"/>
    <n v="1"/>
    <n v="1"/>
    <n v="3.7617999999999999E-2"/>
    <n v="1E-4"/>
    <n v="1.8787000000000001E-3"/>
    <n v="4.6106000000000001E-2"/>
    <n v="1E-4"/>
    <n v="8.8809000000000006E-3"/>
    <n v="3"/>
    <n v="0.32029000000000002"/>
    <n v="0.82372000000000001"/>
    <n v="1"/>
    <n v="137"/>
    <n v="4.0101999999999999E-2"/>
    <n v="1E-4"/>
    <n v="5.8279999999999998E-3"/>
  </r>
  <r>
    <x v="1"/>
    <x v="5"/>
    <n v="136"/>
    <n v="0.95486000000000004"/>
    <n v="1"/>
    <n v="1"/>
    <n v="4.5137999999999998E-2"/>
    <n v="1E-4"/>
    <n v="1.8787000000000001E-3"/>
    <n v="4.7211999999999997E-2"/>
    <n v="1E-4"/>
    <n v="8.8809000000000006E-3"/>
    <n v="4"/>
    <n v="0.26790000000000003"/>
    <n v="0.74853000000000003"/>
    <n v="1"/>
    <n v="132"/>
    <n v="4.0523999999999998E-2"/>
    <n v="1E-4"/>
    <n v="5.8279999999999998E-3"/>
  </r>
  <r>
    <x v="1"/>
    <x v="10"/>
    <n v="33"/>
    <n v="0.98607"/>
    <n v="1"/>
    <n v="1"/>
    <n v="1.3927999999999999E-2"/>
    <n v="1E-4"/>
    <n v="1.8787000000000001E-3"/>
    <n v="2.7855999999999999E-2"/>
    <n v="1E-4"/>
    <n v="8.8809000000000006E-3"/>
    <n v="0"/>
    <s v="NA"/>
    <s v="NA"/>
    <s v="NA"/>
    <n v="33"/>
    <n v="2.7855999999999999E-2"/>
    <n v="1E-4"/>
    <n v="5.8279999999999998E-3"/>
  </r>
  <r>
    <x v="1"/>
    <x v="8"/>
    <n v="176"/>
    <n v="0.81821999999999995"/>
    <n v="1"/>
    <n v="1"/>
    <n v="0.18178"/>
    <n v="1E-4"/>
    <n v="1.8787000000000001E-3"/>
    <n v="0.11065"/>
    <n v="1E-4"/>
    <n v="8.8809000000000006E-3"/>
    <n v="30"/>
    <n v="0.2581"/>
    <n v="0.91991000000000001"/>
    <n v="1"/>
    <n v="146"/>
    <n v="8.0350000000000005E-2"/>
    <n v="1E-4"/>
    <n v="5.8279999999999998E-3"/>
  </r>
  <r>
    <x v="1"/>
    <x v="11"/>
    <n v="13"/>
    <n v="0.98802000000000001"/>
    <n v="1"/>
    <n v="1"/>
    <n v="1.1982E-2"/>
    <n v="1E-4"/>
    <n v="1.8787000000000001E-3"/>
    <n v="2.3963999999999999E-2"/>
    <n v="1E-4"/>
    <n v="8.8809000000000006E-3"/>
    <n v="0"/>
    <s v="NA"/>
    <s v="NA"/>
    <s v="NA"/>
    <n v="13"/>
    <n v="2.3963999999999999E-2"/>
    <n v="1E-4"/>
    <n v="5.8279999999999998E-3"/>
  </r>
  <r>
    <x v="1"/>
    <x v="12"/>
    <n v="28"/>
    <n v="0.97362000000000004"/>
    <n v="1"/>
    <n v="1"/>
    <n v="2.6383E-2"/>
    <n v="1E-4"/>
    <n v="1.8787000000000001E-3"/>
    <n v="5.2764999999999999E-2"/>
    <n v="1E-4"/>
    <n v="8.8809000000000006E-3"/>
    <n v="0"/>
    <s v="NA"/>
    <s v="NA"/>
    <s v="NA"/>
    <n v="28"/>
    <n v="5.2764999999999999E-2"/>
    <n v="1E-4"/>
    <n v="5.8279999999999998E-3"/>
  </r>
  <r>
    <x v="1"/>
    <x v="13"/>
    <n v="19"/>
    <n v="0.98592999999999997"/>
    <n v="1"/>
    <n v="1"/>
    <n v="1.4068000000000001E-2"/>
    <n v="1E-4"/>
    <n v="1.8787000000000001E-3"/>
    <n v="2.8136000000000001E-2"/>
    <n v="1E-4"/>
    <n v="8.8809000000000006E-3"/>
    <n v="0"/>
    <s v="NA"/>
    <s v="NA"/>
    <s v="NA"/>
    <n v="19"/>
    <n v="2.8136000000000001E-2"/>
    <n v="1E-4"/>
    <n v="5.8279999999999998E-3"/>
  </r>
  <r>
    <x v="1"/>
    <x v="3"/>
    <n v="29"/>
    <n v="0.95233999999999996"/>
    <n v="1"/>
    <n v="1"/>
    <n v="4.7657999999999999E-2"/>
    <n v="1E-4"/>
    <n v="1.8787000000000001E-3"/>
    <n v="2.7359000000000001E-2"/>
    <n v="1E-4"/>
    <n v="8.8809000000000006E-3"/>
    <n v="1"/>
    <n v="1.4626E-2"/>
    <n v="9.1891E-2"/>
    <n v="0.50866"/>
    <n v="28"/>
    <n v="2.7813999999999998E-2"/>
    <n v="1E-4"/>
    <n v="5.8279999999999998E-3"/>
  </r>
  <r>
    <x v="1"/>
    <x v="28"/>
    <n v="18"/>
    <n v="0.76680999999999999"/>
    <n v="1"/>
    <n v="1"/>
    <n v="0.23319000000000001"/>
    <n v="1E-4"/>
    <n v="1.8787000000000001E-3"/>
    <n v="4.6674E-2"/>
    <n v="1E-4"/>
    <n v="8.8809000000000006E-3"/>
    <n v="4"/>
    <n v="5.5664999999999999E-2"/>
    <n v="3.4097000000000002E-2"/>
    <n v="0.36357"/>
    <n v="14"/>
    <n v="4.4104999999999998E-2"/>
    <n v="3.9995999999999999E-4"/>
    <n v="1.8131999999999999E-2"/>
  </r>
  <r>
    <x v="1"/>
    <x v="29"/>
    <n v="11"/>
    <n v="0.98204999999999998"/>
    <n v="1"/>
    <n v="1"/>
    <n v="1.7953E-2"/>
    <n v="1E-4"/>
    <n v="1.8787000000000001E-3"/>
    <n v="3.5906E-2"/>
    <n v="1E-4"/>
    <n v="8.8809000000000006E-3"/>
    <n v="0"/>
    <s v="NA"/>
    <s v="NA"/>
    <s v="NA"/>
    <n v="11"/>
    <n v="3.5906E-2"/>
    <n v="1E-4"/>
    <n v="5.8279999999999998E-3"/>
  </r>
  <r>
    <x v="1"/>
    <x v="27"/>
    <n v="38"/>
    <n v="0.85535000000000005"/>
    <n v="1"/>
    <n v="1"/>
    <n v="0.14465"/>
    <n v="1E-4"/>
    <n v="1.8787000000000001E-3"/>
    <n v="9.3090999999999993E-2"/>
    <n v="1.9997999999999999E-4"/>
    <n v="1.3956E-2"/>
    <n v="5"/>
    <n v="0.25442999999999999"/>
    <n v="0.72363"/>
    <n v="1"/>
    <n v="33"/>
    <n v="6.8645999999999999E-2"/>
    <n v="1E-4"/>
    <n v="5.8279999999999998E-3"/>
  </r>
  <r>
    <x v="1"/>
    <x v="14"/>
    <n v="34"/>
    <n v="4.2644000000000001E-2"/>
    <n v="1E-4"/>
    <n v="3.4889000000000001E-3"/>
    <n v="0.95735999999999999"/>
    <n v="1"/>
    <n v="1"/>
    <n v="8.5287000000000002E-2"/>
    <n v="1.9997999999999999E-4"/>
    <n v="1.3956E-2"/>
    <n v="34"/>
    <n v="8.5287000000000002E-2"/>
    <n v="1E-4"/>
    <n v="1.8977999999999998E-2"/>
    <n v="0"/>
    <s v="NA"/>
    <s v="NA"/>
    <s v="NA"/>
  </r>
  <r>
    <x v="1"/>
    <x v="4"/>
    <n v="13"/>
    <n v="0.76248000000000005"/>
    <n v="0.99939999999999996"/>
    <n v="1"/>
    <n v="0.23752000000000001"/>
    <n v="6.9992999999999997E-4"/>
    <n v="9.6314E-3"/>
    <n v="4.2429000000000001E-2"/>
    <n v="1.9997999999999999E-4"/>
    <n v="1.3956E-2"/>
    <n v="3"/>
    <n v="6.2669000000000002E-2"/>
    <n v="8.1192E-2"/>
    <n v="0.48638999999999999"/>
    <n v="10"/>
    <n v="3.6357E-2"/>
    <n v="8.9990999999999997E-4"/>
    <n v="3.4967999999999999E-2"/>
  </r>
  <r>
    <x v="1"/>
    <x v="30"/>
    <n v="163"/>
    <n v="0.22008"/>
    <n v="1E-4"/>
    <n v="3.4889000000000001E-3"/>
    <n v="0.77991999999999995"/>
    <n v="1"/>
    <n v="1"/>
    <n v="0.15006"/>
    <n v="2.9996999999999999E-4"/>
    <n v="1.5424999999999999E-2"/>
    <n v="133"/>
    <n v="0.13611000000000001"/>
    <n v="1E-4"/>
    <n v="1.8977999999999998E-2"/>
    <n v="30"/>
    <n v="0.21190000000000001"/>
    <n v="0.45974999999999999"/>
    <n v="1"/>
  </r>
  <r>
    <x v="1"/>
    <x v="31"/>
    <n v="36"/>
    <n v="0.90032999999999996"/>
    <n v="1"/>
    <n v="1"/>
    <n v="9.9666000000000005E-2"/>
    <n v="1E-4"/>
    <n v="1.8787000000000001E-3"/>
    <n v="9.3186000000000005E-2"/>
    <n v="2.9996999999999999E-4"/>
    <n v="1.5424999999999999E-2"/>
    <n v="3"/>
    <n v="0.36312"/>
    <n v="0.88741000000000003"/>
    <n v="1"/>
    <n v="33"/>
    <n v="6.8645999999999999E-2"/>
    <n v="1E-4"/>
    <n v="5.8279999999999998E-3"/>
  </r>
  <r>
    <x v="1"/>
    <x v="9"/>
    <n v="44"/>
    <n v="0.94149000000000005"/>
    <n v="1"/>
    <n v="1"/>
    <n v="5.851E-2"/>
    <n v="1E-4"/>
    <n v="1.8787000000000001E-3"/>
    <n v="0.10025000000000001"/>
    <n v="2.9996999999999999E-4"/>
    <n v="1.5424999999999999E-2"/>
    <n v="1"/>
    <n v="0.63109999999999999"/>
    <n v="0.93091000000000002"/>
    <n v="1"/>
    <n v="43"/>
    <n v="8.7905999999999998E-2"/>
    <n v="1E-4"/>
    <n v="5.8279999999999998E-3"/>
  </r>
  <r>
    <x v="1"/>
    <x v="24"/>
    <n v="17"/>
    <n v="0.36831000000000003"/>
    <n v="0.49145"/>
    <n v="0.84236"/>
    <n v="0.63168999999999997"/>
    <n v="0.50865000000000005"/>
    <n v="1"/>
    <n v="6.5549999999999997E-2"/>
    <n v="2.9996999999999999E-4"/>
    <n v="1.5424999999999999E-2"/>
    <n v="11"/>
    <n v="7.4410000000000004E-2"/>
    <n v="6.0993999999999996E-3"/>
    <n v="0.18682000000000001"/>
    <n v="6"/>
    <n v="4.9307999999999998E-2"/>
    <n v="2.5097000000000001E-2"/>
    <n v="0.37680999999999998"/>
  </r>
  <r>
    <x v="1"/>
    <x v="23"/>
    <n v="11"/>
    <n v="0.73358000000000001"/>
    <n v="0.99880000000000002"/>
    <n v="1"/>
    <n v="0.26641999999999999"/>
    <n v="1.2999000000000001E-3"/>
    <n v="1.5487000000000001E-2"/>
    <n v="4.6420999999999997E-2"/>
    <n v="2.9996999999999999E-4"/>
    <n v="1.5424999999999999E-2"/>
    <n v="3"/>
    <n v="0.10824"/>
    <n v="0.25357000000000002"/>
    <n v="0.71962999999999999"/>
    <n v="8"/>
    <n v="2.324E-2"/>
    <n v="2.9996999999999999E-4"/>
    <n v="1.5298000000000001E-2"/>
  </r>
  <r>
    <x v="1"/>
    <x v="32"/>
    <n v="16"/>
    <n v="0.80579000000000001"/>
    <n v="1"/>
    <n v="1"/>
    <n v="0.19420999999999999"/>
    <n v="1E-4"/>
    <n v="1.8787000000000001E-3"/>
    <n v="5.9365000000000001E-2"/>
    <n v="5.9993999999999998E-4"/>
    <n v="2.9307E-2"/>
    <n v="3"/>
    <n v="0.1225"/>
    <n v="0.31397000000000003"/>
    <n v="0.77993999999999997"/>
    <n v="13"/>
    <n v="4.4795000000000001E-2"/>
    <n v="2.9996999999999999E-4"/>
    <n v="1.5298000000000001E-2"/>
  </r>
  <r>
    <x v="1"/>
    <x v="0"/>
    <n v="52"/>
    <n v="8.0809000000000006E-2"/>
    <n v="1E-4"/>
    <n v="3.4889000000000001E-3"/>
    <n v="0.91918999999999995"/>
    <n v="1"/>
    <n v="1"/>
    <n v="0.11738"/>
    <n v="7.9991999999999997E-4"/>
    <n v="3.5524E-2"/>
    <n v="49"/>
    <n v="8.6815000000000003E-2"/>
    <n v="1E-4"/>
    <n v="1.8977999999999998E-2"/>
    <n v="3"/>
    <n v="0.61660000000000004"/>
    <n v="0.98460000000000003"/>
    <n v="1"/>
  </r>
  <r>
    <x v="1"/>
    <x v="16"/>
    <n v="27"/>
    <n v="4.7142000000000003E-2"/>
    <n v="1E-4"/>
    <n v="3.4889000000000001E-3"/>
    <n v="0.95286000000000004"/>
    <n v="1"/>
    <n v="1"/>
    <n v="9.4284000000000007E-2"/>
    <n v="7.9991999999999997E-4"/>
    <n v="3.5524E-2"/>
    <n v="27"/>
    <n v="9.4284000000000007E-2"/>
    <n v="7.9991999999999997E-4"/>
    <n v="8.4347000000000005E-2"/>
    <n v="0"/>
    <s v="NA"/>
    <s v="NA"/>
    <s v="NA"/>
  </r>
  <r>
    <x v="1"/>
    <x v="33"/>
    <n v="20"/>
    <n v="3.8718000000000002E-2"/>
    <n v="1E-4"/>
    <n v="3.4889000000000001E-3"/>
    <n v="0.96128000000000002"/>
    <n v="1"/>
    <n v="1"/>
    <n v="7.7436000000000005E-2"/>
    <n v="8.9990999999999997E-4"/>
    <n v="3.8226999999999997E-2"/>
    <n v="20"/>
    <n v="7.7436000000000005E-2"/>
    <n v="5.9993999999999998E-4"/>
    <n v="7.1167999999999995E-2"/>
    <n v="0"/>
    <s v="NA"/>
    <s v="NA"/>
    <s v="NA"/>
  </r>
  <r>
    <x v="1"/>
    <x v="34"/>
    <n v="20"/>
    <n v="0.86489000000000005"/>
    <n v="1"/>
    <n v="1"/>
    <n v="0.13511000000000001"/>
    <n v="1E-4"/>
    <n v="1.8787000000000001E-3"/>
    <n v="7.9241000000000006E-2"/>
    <n v="9.9989999999999996E-4"/>
    <n v="4.0703999999999997E-2"/>
    <n v="2"/>
    <n v="4.5093000000000001E-2"/>
    <n v="8.5990999999999998E-2"/>
    <n v="0.50373999999999997"/>
    <n v="18"/>
    <n v="8.3034999999999998E-2"/>
    <n v="4.9994999999999996E-3"/>
    <n v="0.12748999999999999"/>
  </r>
  <r>
    <x v="2"/>
    <x v="30"/>
    <n v="185"/>
    <n v="0.70374999999999999"/>
    <n v="1"/>
    <n v="1"/>
    <n v="0.29625000000000001"/>
    <n v="1E-4"/>
    <n v="2.6613000000000001E-3"/>
    <n v="0.42809000000000003"/>
    <n v="1E-4"/>
    <n v="1.1532000000000001E-2"/>
    <n v="33"/>
    <n v="0.53915999999999997"/>
    <n v="0.21858"/>
    <n v="0.99950000000000006"/>
    <n v="152"/>
    <n v="0.40398000000000001"/>
    <n v="1E-4"/>
    <n v="1.4641E-2"/>
  </r>
  <r>
    <x v="2"/>
    <x v="35"/>
    <n v="26"/>
    <n v="0.81784000000000001"/>
    <n v="1"/>
    <n v="1"/>
    <n v="0.18215999999999999"/>
    <n v="1E-4"/>
    <n v="2.6613000000000001E-3"/>
    <n v="0.33072000000000001"/>
    <n v="1E-4"/>
    <n v="1.1532000000000001E-2"/>
    <n v="3"/>
    <n v="0.85443999999999998"/>
    <n v="0.97460000000000002"/>
    <n v="0.99950000000000006"/>
    <n v="23"/>
    <n v="0.26240999999999998"/>
    <n v="1E-4"/>
    <n v="1.4641E-2"/>
  </r>
  <r>
    <x v="2"/>
    <x v="6"/>
    <n v="148"/>
    <n v="0.23554"/>
    <n v="1E-4"/>
    <n v="3.4597E-3"/>
    <n v="0.76446000000000003"/>
    <n v="1"/>
    <n v="1"/>
    <n v="0.45282"/>
    <n v="1E-4"/>
    <n v="1.1532000000000001E-2"/>
    <n v="139"/>
    <n v="0.42710999999999999"/>
    <n v="1E-4"/>
    <n v="1.5532000000000001E-2"/>
    <n v="9"/>
    <n v="0.84994000000000003"/>
    <n v="1"/>
    <n v="1"/>
  </r>
  <r>
    <x v="2"/>
    <x v="10"/>
    <n v="35"/>
    <n v="0.17968000000000001"/>
    <n v="1E-4"/>
    <n v="3.4597E-3"/>
    <n v="0.82032000000000005"/>
    <n v="1"/>
    <n v="1"/>
    <n v="0.35936000000000001"/>
    <n v="1E-4"/>
    <n v="1.1532000000000001E-2"/>
    <n v="35"/>
    <n v="0.35936000000000001"/>
    <n v="1E-4"/>
    <n v="1.5532000000000001E-2"/>
    <n v="0"/>
    <s v="NA"/>
    <s v="NA"/>
    <s v="NA"/>
  </r>
  <r>
    <x v="2"/>
    <x v="36"/>
    <n v="30"/>
    <n v="0.80284"/>
    <n v="1"/>
    <n v="1"/>
    <n v="0.19716"/>
    <n v="1E-4"/>
    <n v="2.6613000000000001E-3"/>
    <n v="0.36786999999999997"/>
    <n v="1E-4"/>
    <n v="1.1532000000000001E-2"/>
    <n v="1"/>
    <n v="0.60333000000000003"/>
    <n v="0.54444999999999999"/>
    <n v="0.99950000000000006"/>
    <n v="29"/>
    <n v="0.35975000000000001"/>
    <n v="2.9996999999999999E-4"/>
    <n v="3.4162999999999999E-2"/>
  </r>
  <r>
    <x v="2"/>
    <x v="37"/>
    <n v="26"/>
    <n v="0.78854999999999997"/>
    <n v="1"/>
    <n v="1"/>
    <n v="0.21145"/>
    <n v="1E-4"/>
    <n v="2.6613000000000001E-3"/>
    <n v="0.35780000000000001"/>
    <n v="1E-4"/>
    <n v="1.1532000000000001E-2"/>
    <n v="3"/>
    <n v="0.71791000000000005"/>
    <n v="0.83621999999999996"/>
    <n v="0.99950000000000006"/>
    <n v="23"/>
    <n v="0.31081999999999999"/>
    <n v="3.9995999999999999E-4"/>
    <n v="4.0995999999999998E-2"/>
  </r>
  <r>
    <x v="2"/>
    <x v="38"/>
    <n v="37"/>
    <n v="0.76522000000000001"/>
    <n v="1"/>
    <n v="1"/>
    <n v="0.23477999999999999"/>
    <n v="1E-4"/>
    <n v="2.6613000000000001E-3"/>
    <n v="0.36165999999999998"/>
    <n v="1E-4"/>
    <n v="1.1532000000000001E-2"/>
    <n v="5"/>
    <n v="0.60077999999999998"/>
    <n v="0.59494000000000002"/>
    <n v="0.99950000000000006"/>
    <n v="32"/>
    <n v="0.32429999999999998"/>
    <n v="1E-4"/>
    <n v="1.4641E-2"/>
  </r>
  <r>
    <x v="2"/>
    <x v="39"/>
    <n v="19"/>
    <n v="0.77225999999999995"/>
    <n v="1"/>
    <n v="1"/>
    <n v="0.22774"/>
    <n v="1E-4"/>
    <n v="2.6613000000000001E-3"/>
    <n v="0.30066999999999999"/>
    <n v="1E-4"/>
    <n v="1.1532000000000001E-2"/>
    <n v="3"/>
    <n v="0.50978999999999997"/>
    <n v="0.34377000000000002"/>
    <n v="0.99950000000000006"/>
    <n v="16"/>
    <n v="0.26146000000000003"/>
    <n v="1E-4"/>
    <n v="1.4641E-2"/>
  </r>
  <r>
    <x v="2"/>
    <x v="40"/>
    <n v="6"/>
    <n v="0.76387000000000005"/>
    <n v="0.9778"/>
    <n v="1"/>
    <n v="0.23613000000000001"/>
    <n v="2.2297999999999998E-2"/>
    <n v="0.10815"/>
    <n v="0.17774000000000001"/>
    <n v="1E-4"/>
    <n v="1.1532000000000001E-2"/>
    <n v="1"/>
    <n v="0.11644"/>
    <n v="1.7998E-2"/>
    <n v="0.43101"/>
    <n v="5"/>
    <n v="0.19"/>
    <n v="1.0999E-3"/>
    <n v="5.5515000000000002E-2"/>
  </r>
  <r>
    <x v="2"/>
    <x v="5"/>
    <n v="145"/>
    <n v="0.24526000000000001"/>
    <n v="1E-4"/>
    <n v="3.4597E-3"/>
    <n v="0.75473999999999997"/>
    <n v="1"/>
    <n v="1"/>
    <n v="0.46438000000000001"/>
    <n v="1.9997999999999999E-4"/>
    <n v="1.5968E-2"/>
    <n v="134"/>
    <n v="0.43454999999999999"/>
    <n v="1E-4"/>
    <n v="1.5532000000000001E-2"/>
    <n v="11"/>
    <n v="0.82774999999999999"/>
    <n v="1"/>
    <n v="1"/>
  </r>
  <r>
    <x v="2"/>
    <x v="41"/>
    <n v="214"/>
    <n v="0.70772000000000002"/>
    <n v="1"/>
    <n v="1"/>
    <n v="0.29227999999999998"/>
    <n v="1E-4"/>
    <n v="2.6613000000000001E-3"/>
    <n v="0.47384999999999999"/>
    <n v="1.9997999999999999E-4"/>
    <n v="1.5968E-2"/>
    <n v="32"/>
    <n v="0.62982000000000005"/>
    <n v="0.90100999999999998"/>
    <n v="0.99950000000000006"/>
    <n v="182"/>
    <n v="0.44641999999999998"/>
    <n v="2.9996999999999999E-4"/>
    <n v="3.4162999999999999E-2"/>
  </r>
  <r>
    <x v="2"/>
    <x v="42"/>
    <n v="18"/>
    <n v="0.82157000000000002"/>
    <n v="1"/>
    <n v="1"/>
    <n v="0.17843000000000001"/>
    <n v="1E-4"/>
    <n v="2.6613000000000001E-3"/>
    <n v="0.29832999999999998"/>
    <n v="1.9997999999999999E-4"/>
    <n v="1.5968E-2"/>
    <n v="2"/>
    <n v="0.73665000000000003"/>
    <n v="0.80291999999999997"/>
    <n v="0.99950000000000006"/>
    <n v="16"/>
    <n v="0.24354000000000001"/>
    <n v="1E-4"/>
    <n v="1.4641E-2"/>
  </r>
  <r>
    <x v="2"/>
    <x v="43"/>
    <n v="12"/>
    <n v="0.84626000000000001"/>
    <n v="1"/>
    <n v="1"/>
    <n v="0.15373999999999999"/>
    <n v="1E-4"/>
    <n v="2.6613000000000001E-3"/>
    <n v="0.28543000000000002"/>
    <n v="1.9997999999999999E-4"/>
    <n v="1.5968E-2"/>
    <n v="1"/>
    <n v="0.86772000000000005"/>
    <n v="0.84241999999999995"/>
    <n v="0.99950000000000006"/>
    <n v="11"/>
    <n v="0.23249"/>
    <n v="1E-4"/>
    <n v="1.4641E-2"/>
  </r>
  <r>
    <x v="2"/>
    <x v="44"/>
    <n v="8"/>
    <n v="0.87539999999999996"/>
    <n v="1"/>
    <n v="1"/>
    <n v="0.1246"/>
    <n v="1E-4"/>
    <n v="2.6613000000000001E-3"/>
    <n v="0.2492"/>
    <n v="2.9996999999999999E-4"/>
    <n v="1.8315999999999999E-2"/>
    <n v="0"/>
    <s v="NA"/>
    <s v="NA"/>
    <s v="NA"/>
    <n v="8"/>
    <n v="0.2492"/>
    <n v="1.0999E-3"/>
    <n v="5.5515000000000002E-2"/>
  </r>
  <r>
    <x v="2"/>
    <x v="45"/>
    <n v="5"/>
    <n v="0.90500000000000003"/>
    <n v="0.99980000000000002"/>
    <n v="1"/>
    <n v="9.5002000000000003E-2"/>
    <n v="2.9996999999999999E-4"/>
    <n v="5.7660999999999997E-3"/>
    <n v="0.19"/>
    <n v="2.9996999999999999E-4"/>
    <n v="1.8315999999999999E-2"/>
    <n v="0"/>
    <s v="NA"/>
    <s v="NA"/>
    <s v="NA"/>
    <n v="5"/>
    <n v="0.19"/>
    <n v="1.0999E-3"/>
    <n v="5.5515000000000002E-2"/>
  </r>
  <r>
    <x v="2"/>
    <x v="46"/>
    <n v="5"/>
    <n v="0.90500000000000003"/>
    <n v="0.99980000000000002"/>
    <n v="1"/>
    <n v="9.5002000000000003E-2"/>
    <n v="2.9996999999999999E-4"/>
    <n v="5.7660999999999997E-3"/>
    <n v="0.19"/>
    <n v="2.9996999999999999E-4"/>
    <n v="1.8315999999999999E-2"/>
    <n v="0"/>
    <s v="NA"/>
    <s v="NA"/>
    <s v="NA"/>
    <n v="5"/>
    <n v="0.19"/>
    <n v="1.0999E-3"/>
    <n v="5.5515000000000002E-2"/>
  </r>
  <r>
    <x v="2"/>
    <x v="47"/>
    <n v="5"/>
    <n v="0.90500000000000003"/>
    <n v="0.99980000000000002"/>
    <n v="1"/>
    <n v="9.5002000000000003E-2"/>
    <n v="2.9996999999999999E-4"/>
    <n v="5.7660999999999997E-3"/>
    <n v="0.19"/>
    <n v="2.9996999999999999E-4"/>
    <n v="1.8315999999999999E-2"/>
    <n v="0"/>
    <s v="NA"/>
    <s v="NA"/>
    <s v="NA"/>
    <n v="5"/>
    <n v="0.19"/>
    <n v="1.0999E-3"/>
    <n v="5.5515000000000002E-2"/>
  </r>
  <r>
    <x v="2"/>
    <x v="48"/>
    <n v="8"/>
    <n v="0.87270000000000003"/>
    <n v="1"/>
    <n v="1"/>
    <n v="0.1273"/>
    <n v="1E-4"/>
    <n v="2.6613000000000001E-3"/>
    <n v="0.25459999999999999"/>
    <n v="3.9995999999999999E-4"/>
    <n v="2.3064000000000001E-2"/>
    <n v="0"/>
    <s v="NA"/>
    <s v="NA"/>
    <s v="NA"/>
    <n v="8"/>
    <n v="0.25459999999999999"/>
    <n v="1.3998999999999999E-3"/>
    <n v="5.7394000000000001E-2"/>
  </r>
  <r>
    <x v="2"/>
    <x v="49"/>
    <n v="38"/>
    <n v="0.48760999999999999"/>
    <n v="4.7895E-2"/>
    <n v="0.29416999999999999"/>
    <n v="0.51239000000000001"/>
    <n v="0.95220000000000005"/>
    <n v="1"/>
    <n v="0.40451999999999999"/>
    <n v="4.9994999999999998E-4"/>
    <n v="2.7313E-2"/>
    <n v="22"/>
    <n v="0.46433000000000002"/>
    <n v="2.3297999999999999E-2"/>
    <n v="0.47203000000000001"/>
    <n v="16"/>
    <n v="0.32229000000000002"/>
    <n v="1.6998E-3"/>
    <n v="6.7013000000000003E-2"/>
  </r>
  <r>
    <x v="2"/>
    <x v="50"/>
    <n v="7"/>
    <n v="0.87573000000000001"/>
    <n v="1"/>
    <n v="1"/>
    <n v="0.12427000000000001"/>
    <n v="1E-4"/>
    <n v="2.6613000000000001E-3"/>
    <n v="0.24854000000000001"/>
    <n v="5.9993999999999998E-4"/>
    <n v="3.1137000000000001E-2"/>
    <n v="0"/>
    <s v="NA"/>
    <s v="NA"/>
    <s v="NA"/>
    <n v="7"/>
    <n v="0.24854000000000001"/>
    <n v="1.8998000000000001E-3"/>
    <n v="7.2122000000000006E-2"/>
  </r>
  <r>
    <x v="2"/>
    <x v="51"/>
    <n v="5"/>
    <n v="0.88788"/>
    <n v="0.99939999999999996"/>
    <n v="1"/>
    <n v="0.11212"/>
    <n v="6.9992999999999997E-4"/>
    <n v="9.9524000000000001E-3"/>
    <n v="0.22425"/>
    <n v="7.9991999999999997E-4"/>
    <n v="3.9538999999999998E-2"/>
    <n v="0"/>
    <s v="NA"/>
    <s v="NA"/>
    <s v="NA"/>
    <n v="5"/>
    <n v="0.22425"/>
    <n v="3.9995999999999999E-3"/>
    <n v="0.11388"/>
  </r>
  <r>
    <x v="2"/>
    <x v="52"/>
    <n v="12"/>
    <n v="0.79657999999999995"/>
    <n v="0.99939999999999996"/>
    <n v="1"/>
    <n v="0.20341999999999999"/>
    <n v="6.9992999999999997E-4"/>
    <n v="9.9524000000000001E-3"/>
    <n v="0.31137999999999999"/>
    <n v="9.9989999999999996E-4"/>
    <n v="4.7176999999999997E-2"/>
    <n v="2"/>
    <n v="0.71362999999999999"/>
    <n v="0.76702000000000004"/>
    <n v="0.99950000000000006"/>
    <n v="10"/>
    <n v="0.23093"/>
    <n v="1E-4"/>
    <n v="1.4641E-2"/>
  </r>
  <r>
    <x v="2"/>
    <x v="53"/>
    <n v="8"/>
    <n v="0.86634"/>
    <n v="1"/>
    <n v="1"/>
    <n v="0.13366"/>
    <n v="1E-4"/>
    <n v="2.6613000000000001E-3"/>
    <n v="0.26732"/>
    <n v="1.0999E-3"/>
    <n v="4.9639000000000003E-2"/>
    <n v="0"/>
    <s v="NA"/>
    <s v="NA"/>
    <s v="NA"/>
    <n v="8"/>
    <n v="0.26732"/>
    <n v="2.5996999999999999E-3"/>
    <n v="9.5169000000000004E-2"/>
  </r>
  <r>
    <x v="3"/>
    <x v="7"/>
    <n v="178"/>
    <n v="0.91739999999999999"/>
    <n v="1"/>
    <n v="1"/>
    <n v="8.2599000000000006E-2"/>
    <n v="1E-4"/>
    <n v="1.6869000000000001E-3"/>
    <n v="6.2839999999999993E-2"/>
    <n v="1E-4"/>
    <n v="1.0121E-2"/>
    <n v="15"/>
    <n v="0.39267999999999997"/>
    <n v="0.99970000000000003"/>
    <n v="1"/>
    <n v="163"/>
    <n v="3.2487000000000002E-2"/>
    <n v="1E-4"/>
    <n v="5.6208999999999999E-3"/>
  </r>
  <r>
    <x v="3"/>
    <x v="6"/>
    <n v="135"/>
    <n v="0.95596999999999999"/>
    <n v="1"/>
    <n v="1"/>
    <n v="4.4026000000000003E-2"/>
    <n v="1E-4"/>
    <n v="1.6869000000000001E-3"/>
    <n v="3.5758999999999999E-2"/>
    <n v="1E-4"/>
    <n v="1.0121E-2"/>
    <n v="7"/>
    <n v="0.49574000000000001"/>
    <n v="0.99919999999999998"/>
    <n v="1"/>
    <n v="128"/>
    <n v="1.0604000000000001E-2"/>
    <n v="1E-4"/>
    <n v="5.6208999999999999E-3"/>
  </r>
  <r>
    <x v="3"/>
    <x v="5"/>
    <n v="131"/>
    <n v="0.94013999999999998"/>
    <n v="1"/>
    <n v="1"/>
    <n v="5.9859999999999997E-2"/>
    <n v="1E-4"/>
    <n v="1.6869000000000001E-3"/>
    <n v="3.7462000000000002E-2"/>
    <n v="1E-4"/>
    <n v="1.0121E-2"/>
    <n v="9"/>
    <n v="0.40134999999999998"/>
    <n v="0.99660000000000004"/>
    <n v="1"/>
    <n v="122"/>
    <n v="1.0618000000000001E-2"/>
    <n v="1E-4"/>
    <n v="5.6208999999999999E-3"/>
  </r>
  <r>
    <x v="3"/>
    <x v="10"/>
    <n v="31"/>
    <n v="0.99580000000000002"/>
    <n v="1"/>
    <n v="1"/>
    <n v="4.2033000000000001E-3"/>
    <n v="1E-4"/>
    <n v="1.6869000000000001E-3"/>
    <n v="8.4066999999999996E-3"/>
    <n v="1E-4"/>
    <n v="1.0121E-2"/>
    <n v="0"/>
    <s v="NA"/>
    <s v="NA"/>
    <s v="NA"/>
    <n v="31"/>
    <n v="8.4066999999999996E-3"/>
    <n v="1E-4"/>
    <n v="5.6208999999999999E-3"/>
  </r>
  <r>
    <x v="3"/>
    <x v="8"/>
    <n v="168"/>
    <n v="0.79596999999999996"/>
    <n v="1"/>
    <n v="1"/>
    <n v="0.20402999999999999"/>
    <n v="1E-4"/>
    <n v="1.6869000000000001E-3"/>
    <n v="6.3971E-2"/>
    <n v="1E-4"/>
    <n v="1.0121E-2"/>
    <n v="37"/>
    <n v="0.21881"/>
    <n v="0.95630000000000004"/>
    <n v="1"/>
    <n v="131"/>
    <n v="2.0237000000000002E-2"/>
    <n v="1E-4"/>
    <n v="5.6208999999999999E-3"/>
  </r>
  <r>
    <x v="3"/>
    <x v="11"/>
    <n v="12"/>
    <n v="0.99683999999999995"/>
    <n v="1"/>
    <n v="1"/>
    <n v="3.1640000000000001E-3"/>
    <n v="1E-4"/>
    <n v="1.6869000000000001E-3"/>
    <n v="6.3279E-3"/>
    <n v="1E-4"/>
    <n v="1.0121E-2"/>
    <n v="0"/>
    <s v="NA"/>
    <s v="NA"/>
    <s v="NA"/>
    <n v="12"/>
    <n v="6.3279E-3"/>
    <n v="1E-4"/>
    <n v="5.6208999999999999E-3"/>
  </r>
  <r>
    <x v="3"/>
    <x v="13"/>
    <n v="17"/>
    <n v="0.99007000000000001"/>
    <n v="1"/>
    <n v="1"/>
    <n v="9.9275000000000006E-3"/>
    <n v="1E-4"/>
    <n v="1.6869000000000001E-3"/>
    <n v="1.9855000000000001E-2"/>
    <n v="1E-4"/>
    <n v="1.0121E-2"/>
    <n v="0"/>
    <s v="NA"/>
    <s v="NA"/>
    <s v="NA"/>
    <n v="17"/>
    <n v="1.9855000000000001E-2"/>
    <n v="1E-4"/>
    <n v="5.6208999999999999E-3"/>
  </r>
  <r>
    <x v="3"/>
    <x v="3"/>
    <n v="29"/>
    <n v="0.96153999999999995"/>
    <n v="1"/>
    <n v="1"/>
    <n v="3.8460000000000001E-2"/>
    <n v="1E-4"/>
    <n v="1.6869000000000001E-3"/>
    <n v="1.7292999999999999E-2"/>
    <n v="1E-4"/>
    <n v="1.0121E-2"/>
    <n v="1"/>
    <n v="0.13541"/>
    <n v="0.70333000000000001"/>
    <n v="1"/>
    <n v="28"/>
    <n v="1.3074000000000001E-2"/>
    <n v="1E-4"/>
    <n v="5.6208999999999999E-3"/>
  </r>
  <r>
    <x v="3"/>
    <x v="54"/>
    <n v="7"/>
    <n v="0.99565000000000003"/>
    <n v="1"/>
    <n v="1"/>
    <n v="4.3461000000000003E-3"/>
    <n v="1E-4"/>
    <n v="1.6869000000000001E-3"/>
    <n v="8.6920999999999995E-3"/>
    <n v="1E-4"/>
    <n v="1.0121E-2"/>
    <n v="0"/>
    <s v="NA"/>
    <s v="NA"/>
    <s v="NA"/>
    <n v="7"/>
    <n v="8.6920999999999995E-3"/>
    <n v="4.9994999999999998E-4"/>
    <n v="1.9673E-2"/>
  </r>
  <r>
    <x v="3"/>
    <x v="17"/>
    <n v="14"/>
    <n v="1.2285000000000001E-2"/>
    <n v="1E-4"/>
    <n v="3.5035000000000001E-3"/>
    <n v="0.98770999999999998"/>
    <n v="1"/>
    <n v="1"/>
    <n v="2.4570999999999999E-2"/>
    <n v="1.9997999999999999E-4"/>
    <n v="1.6562E-2"/>
    <n v="14"/>
    <n v="2.4570999999999999E-2"/>
    <n v="3.9995999999999999E-4"/>
    <n v="5.9193999999999997E-2"/>
    <n v="0"/>
    <s v="NA"/>
    <s v="NA"/>
    <s v="NA"/>
  </r>
  <r>
    <x v="3"/>
    <x v="55"/>
    <n v="8"/>
    <n v="0.99522999999999995"/>
    <n v="1"/>
    <n v="1"/>
    <n v="4.7686999999999998E-3"/>
    <n v="1E-4"/>
    <n v="1.6869000000000001E-3"/>
    <n v="9.5373000000000003E-3"/>
    <n v="1.9997999999999999E-4"/>
    <n v="1.6562E-2"/>
    <n v="0"/>
    <s v="NA"/>
    <s v="NA"/>
    <s v="NA"/>
    <n v="8"/>
    <n v="9.5373000000000003E-3"/>
    <n v="3.9995999999999999E-4"/>
    <n v="1.7486999999999999E-2"/>
  </r>
  <r>
    <x v="3"/>
    <x v="49"/>
    <n v="35"/>
    <n v="0.53644000000000003"/>
    <n v="0.99170000000000003"/>
    <n v="1"/>
    <n v="0.46356000000000003"/>
    <n v="8.3992000000000008E-3"/>
    <n v="6.5398999999999999E-2"/>
    <n v="5.0680999999999997E-2"/>
    <n v="2.9996999999999999E-4"/>
    <n v="2.2773000000000002E-2"/>
    <n v="16"/>
    <n v="4.1399999999999999E-2"/>
    <n v="3.3996999999999999E-3"/>
    <n v="0.20125999999999999"/>
    <n v="19"/>
    <n v="5.8495999999999999E-2"/>
    <n v="6.6993E-3"/>
    <n v="0.14863999999999999"/>
  </r>
  <r>
    <x v="3"/>
    <x v="48"/>
    <n v="7"/>
    <n v="5.6581000000000001E-3"/>
    <n v="1E-4"/>
    <n v="3.5035000000000001E-3"/>
    <n v="0.99434"/>
    <n v="1"/>
    <n v="1"/>
    <n v="1.1316E-2"/>
    <n v="3.9995999999999999E-4"/>
    <n v="2.8028000000000001E-2"/>
    <n v="7"/>
    <n v="1.1316E-2"/>
    <n v="1.9997999999999999E-4"/>
    <n v="5.9193999999999997E-2"/>
    <n v="0"/>
    <s v="NA"/>
    <s v="NA"/>
    <s v="NA"/>
  </r>
  <r>
    <x v="3"/>
    <x v="56"/>
    <n v="7"/>
    <n v="5.8548000000000003E-3"/>
    <n v="1E-4"/>
    <n v="3.5035000000000001E-3"/>
    <n v="0.99414999999999998"/>
    <n v="1"/>
    <n v="1"/>
    <n v="1.171E-2"/>
    <n v="4.9994999999999998E-4"/>
    <n v="3.2531999999999998E-2"/>
    <n v="7"/>
    <n v="1.171E-2"/>
    <n v="2.9996999999999999E-4"/>
    <n v="5.9193999999999997E-2"/>
    <n v="0"/>
    <s v="NA"/>
    <s v="NA"/>
    <s v="NA"/>
  </r>
  <r>
    <x v="4"/>
    <x v="57"/>
    <n v="214"/>
    <n v="0.45002999999999999"/>
    <n v="1E-4"/>
    <n v="1.4683999999999999E-2"/>
    <n v="0.54996999999999996"/>
    <n v="1"/>
    <n v="1"/>
    <n v="0.20383999999999999"/>
    <n v="1E-4"/>
    <n v="1.2848999999999999E-2"/>
    <n v="121"/>
    <n v="0.20757999999999999"/>
    <n v="1E-4"/>
    <n v="3.1597E-2"/>
    <n v="93"/>
    <n v="0.19897000000000001"/>
    <n v="2.9996999999999999E-4"/>
    <n v="2.3397999999999999E-2"/>
  </r>
  <r>
    <x v="4"/>
    <x v="30"/>
    <n v="182"/>
    <n v="0.70809"/>
    <n v="1"/>
    <n v="1"/>
    <n v="0.29191"/>
    <n v="1E-4"/>
    <n v="3.9535000000000004E-3"/>
    <n v="0.22084000000000001"/>
    <n v="1E-4"/>
    <n v="1.2848999999999999E-2"/>
    <n v="50"/>
    <n v="0.33939000000000002"/>
    <n v="0.54605000000000004"/>
    <n v="1"/>
    <n v="132"/>
    <n v="0.17594000000000001"/>
    <n v="1E-4"/>
    <n v="1.1266E-2"/>
  </r>
  <r>
    <x v="4"/>
    <x v="41"/>
    <n v="210"/>
    <n v="0.74968000000000001"/>
    <n v="1"/>
    <n v="1"/>
    <n v="0.25031999999999999"/>
    <n v="1E-4"/>
    <n v="3.9535000000000004E-3"/>
    <n v="0.23452000000000001"/>
    <n v="1E-4"/>
    <n v="1.2848999999999999E-2"/>
    <n v="44"/>
    <n v="0.36495"/>
    <n v="0.75102000000000002"/>
    <n v="1"/>
    <n v="166"/>
    <n v="0.19994999999999999"/>
    <n v="1E-4"/>
    <n v="1.1266E-2"/>
  </r>
  <r>
    <x v="4"/>
    <x v="58"/>
    <n v="26"/>
    <n v="0.40115000000000001"/>
    <n v="7.1992999999999996E-3"/>
    <n v="0.17866000000000001"/>
    <n v="0.59884999999999999"/>
    <n v="0.9929"/>
    <n v="1"/>
    <n v="9.8844000000000001E-2"/>
    <n v="1E-4"/>
    <n v="1.2848999999999999E-2"/>
    <n v="16"/>
    <n v="0.10718999999999999"/>
    <n v="1E-4"/>
    <n v="3.1597E-2"/>
    <n v="10"/>
    <n v="8.5496000000000003E-2"/>
    <n v="8.9990999999999997E-4"/>
    <n v="4.8027E-2"/>
  </r>
  <r>
    <x v="4"/>
    <x v="39"/>
    <n v="19"/>
    <n v="0.91922000000000004"/>
    <n v="1"/>
    <n v="1"/>
    <n v="8.0778000000000003E-2"/>
    <n v="1E-4"/>
    <n v="3.9535000000000004E-3"/>
    <n v="8.6539000000000005E-2"/>
    <n v="1E-4"/>
    <n v="1.2848999999999999E-2"/>
    <n v="1"/>
    <n v="0.28732999999999997"/>
    <n v="0.56213999999999997"/>
    <n v="1"/>
    <n v="18"/>
    <n v="7.5384000000000007E-2"/>
    <n v="1E-4"/>
    <n v="1.1266E-2"/>
  </r>
  <r>
    <x v="4"/>
    <x v="45"/>
    <n v="5"/>
    <n v="0.98607"/>
    <n v="1"/>
    <n v="1"/>
    <n v="1.3932999999999999E-2"/>
    <n v="1E-4"/>
    <n v="3.9535000000000004E-3"/>
    <n v="2.7865000000000001E-2"/>
    <n v="1E-4"/>
    <n v="1.2848999999999999E-2"/>
    <n v="0"/>
    <s v="NA"/>
    <s v="NA"/>
    <s v="NA"/>
    <n v="5"/>
    <n v="2.7865000000000001E-2"/>
    <n v="1E-4"/>
    <n v="1.1266E-2"/>
  </r>
  <r>
    <x v="4"/>
    <x v="46"/>
    <n v="5"/>
    <n v="0.98607"/>
    <n v="1"/>
    <n v="1"/>
    <n v="1.3932999999999999E-2"/>
    <n v="1E-4"/>
    <n v="3.9535000000000004E-3"/>
    <n v="2.7865000000000001E-2"/>
    <n v="1E-4"/>
    <n v="1.2848999999999999E-2"/>
    <n v="0"/>
    <s v="NA"/>
    <s v="NA"/>
    <s v="NA"/>
    <n v="5"/>
    <n v="2.7865000000000001E-2"/>
    <n v="1E-4"/>
    <n v="1.1266E-2"/>
  </r>
  <r>
    <x v="4"/>
    <x v="47"/>
    <n v="5"/>
    <n v="0.98607"/>
    <n v="1"/>
    <n v="1"/>
    <n v="1.3932999999999999E-2"/>
    <n v="1E-4"/>
    <n v="3.9535000000000004E-3"/>
    <n v="2.7865000000000001E-2"/>
    <n v="1E-4"/>
    <n v="1.2848999999999999E-2"/>
    <n v="0"/>
    <s v="NA"/>
    <s v="NA"/>
    <s v="NA"/>
    <n v="5"/>
    <n v="2.7865000000000001E-2"/>
    <n v="1E-4"/>
    <n v="1.1266E-2"/>
  </r>
  <r>
    <x v="4"/>
    <x v="43"/>
    <n v="12"/>
    <n v="0.89939000000000002"/>
    <n v="0.99970000000000003"/>
    <n v="1"/>
    <n v="0.10061"/>
    <n v="3.9995999999999999E-4"/>
    <n v="1.1747E-2"/>
    <n v="6.1634000000000001E-2"/>
    <n v="1.9997999999999999E-4"/>
    <n v="1.8689000000000001E-2"/>
    <n v="1"/>
    <n v="0.16247"/>
    <n v="0.37706000000000001"/>
    <n v="1"/>
    <n v="11"/>
    <n v="5.2467E-2"/>
    <n v="1E-4"/>
    <n v="1.1266E-2"/>
  </r>
  <r>
    <x v="4"/>
    <x v="59"/>
    <n v="5"/>
    <n v="0.97950000000000004"/>
    <n v="1"/>
    <n v="1"/>
    <n v="2.0504999999999999E-2"/>
    <n v="1E-4"/>
    <n v="3.9535000000000004E-3"/>
    <n v="4.1009999999999998E-2"/>
    <n v="1.9997999999999999E-4"/>
    <n v="1.8689000000000001E-2"/>
    <n v="0"/>
    <s v="NA"/>
    <s v="NA"/>
    <s v="NA"/>
    <n v="5"/>
    <n v="4.1009999999999998E-2"/>
    <n v="6.9992999999999997E-4"/>
    <n v="3.9428999999999999E-2"/>
  </r>
  <r>
    <x v="4"/>
    <x v="40"/>
    <n v="6"/>
    <n v="0.82347999999999999"/>
    <n v="0.95850000000000002"/>
    <n v="1"/>
    <n v="0.17652000000000001"/>
    <n v="4.1596000000000001E-2"/>
    <n v="0.21487999999999999"/>
    <n v="2.6738999999999999E-2"/>
    <n v="1.9997999999999999E-4"/>
    <n v="1.8689000000000001E-2"/>
    <n v="1"/>
    <n v="2.1104000000000001E-2"/>
    <n v="4.7695000000000001E-2"/>
    <n v="0.75677000000000005"/>
    <n v="5"/>
    <n v="2.7865000000000001E-2"/>
    <n v="1E-4"/>
    <n v="1.1266E-2"/>
  </r>
  <r>
    <x v="4"/>
    <x v="35"/>
    <n v="26"/>
    <n v="0.90239999999999998"/>
    <n v="1"/>
    <n v="1"/>
    <n v="9.7597000000000003E-2"/>
    <n v="1E-4"/>
    <n v="3.9535000000000004E-3"/>
    <n v="0.14027000000000001"/>
    <n v="4.9994999999999998E-4"/>
    <n v="4.2828999999999999E-2"/>
    <n v="1"/>
    <n v="0.28598000000000001"/>
    <n v="0.55944000000000005"/>
    <n v="1"/>
    <n v="25"/>
    <n v="0.13444"/>
    <n v="3.9995999999999999E-4"/>
    <n v="2.7036999999999999E-2"/>
  </r>
  <r>
    <x v="4"/>
    <x v="60"/>
    <n v="45"/>
    <n v="0.53529000000000004"/>
    <n v="0.22588"/>
    <n v="0.87388999999999994"/>
    <n v="0.46471000000000001"/>
    <n v="0.77422000000000002"/>
    <n v="1"/>
    <n v="0.18243000000000001"/>
    <n v="5.9993999999999998E-4"/>
    <n v="4.7440999999999997E-2"/>
    <n v="21"/>
    <n v="0.19964999999999999"/>
    <n v="8.0992000000000008E-3"/>
    <n v="0.27422000000000002"/>
    <n v="24"/>
    <n v="0.16736000000000001"/>
    <n v="8.4992000000000002E-3"/>
    <n v="0.19836999999999999"/>
  </r>
  <r>
    <x v="4"/>
    <x v="61"/>
    <n v="37"/>
    <n v="0.77178999999999998"/>
    <n v="0.99990000000000001"/>
    <n v="1"/>
    <n v="0.22821"/>
    <n v="1.9997999999999999E-4"/>
    <n v="6.8526000000000004E-3"/>
    <n v="0.17741999999999999"/>
    <n v="6.9992999999999997E-4"/>
    <n v="4.7968999999999998E-2"/>
    <n v="6"/>
    <n v="0.13975000000000001"/>
    <n v="3.4396999999999997E-2"/>
    <n v="0.70887"/>
    <n v="31"/>
    <n v="0.18471000000000001"/>
    <n v="9.9989999999999992E-3"/>
    <n v="0.1988"/>
  </r>
  <r>
    <x v="4"/>
    <x v="52"/>
    <n v="12"/>
    <n v="0.73336999999999997"/>
    <n v="0.93310999999999999"/>
    <n v="1"/>
    <n v="0.26662999999999998"/>
    <n v="6.6992999999999997E-2"/>
    <n v="0.26285999999999998"/>
    <n v="9.3918000000000001E-2"/>
    <n v="6.9992999999999997E-4"/>
    <n v="4.7968999999999998E-2"/>
    <n v="3"/>
    <n v="0.12131"/>
    <n v="8.2491999999999996E-2"/>
    <n v="0.89888000000000001"/>
    <n v="9"/>
    <n v="8.4786E-2"/>
    <n v="1.6998E-3"/>
    <n v="8.6180999999999994E-2"/>
  </r>
  <r>
    <x v="5"/>
    <x v="62"/>
    <n v="5"/>
    <n v="0.96179999999999999"/>
    <n v="1"/>
    <n v="1"/>
    <n v="3.8200999999999999E-2"/>
    <n v="1E-4"/>
    <n v="1.6688999999999999E-2"/>
    <n v="7.6400999999999997E-2"/>
    <n v="1E-4"/>
    <n v="3.0596999999999999E-2"/>
    <n v="0"/>
    <s v="NA"/>
    <s v="NA"/>
    <s v="NA"/>
    <n v="5"/>
    <n v="7.6400999999999997E-2"/>
    <n v="1E-4"/>
    <n v="3.0464000000000001E-2"/>
  </r>
  <r>
    <x v="5"/>
    <x v="63"/>
    <n v="6"/>
    <n v="0.96379000000000004"/>
    <n v="1"/>
    <n v="1"/>
    <n v="3.6209999999999999E-2"/>
    <n v="1E-4"/>
    <n v="1.6688999999999999E-2"/>
    <n v="7.2419999999999998E-2"/>
    <n v="1E-4"/>
    <n v="3.0596999999999999E-2"/>
    <n v="0"/>
    <s v="NA"/>
    <s v="NA"/>
    <s v="NA"/>
    <n v="6"/>
    <n v="7.2419999999999998E-2"/>
    <n v="1E-4"/>
    <n v="3.0464000000000001E-2"/>
  </r>
  <r>
    <x v="5"/>
    <x v="64"/>
    <n v="5"/>
    <n v="0.96179999999999999"/>
    <n v="1"/>
    <n v="1"/>
    <n v="3.8200999999999999E-2"/>
    <n v="1E-4"/>
    <n v="1.6688999999999999E-2"/>
    <n v="7.6400999999999997E-2"/>
    <n v="1E-4"/>
    <n v="3.0596999999999999E-2"/>
    <n v="0"/>
    <s v="NA"/>
    <s v="NA"/>
    <s v="NA"/>
    <n v="5"/>
    <n v="7.6400999999999997E-2"/>
    <n v="1E-4"/>
    <n v="3.0464000000000001E-2"/>
  </r>
  <r>
    <x v="6"/>
    <x v="34"/>
    <n v="20"/>
    <n v="0.84269000000000005"/>
    <n v="1"/>
    <n v="1"/>
    <n v="0.15731000000000001"/>
    <n v="1E-4"/>
    <n v="1.9345E-3"/>
    <n v="1.7821E-2"/>
    <n v="1E-4"/>
    <n v="7.2915999999999996E-3"/>
    <n v="3"/>
    <n v="1.0692999999999999E-2"/>
    <n v="5.6994000000000003E-3"/>
    <n v="0.26380999999999999"/>
    <n v="17"/>
    <n v="1.9078999999999999E-2"/>
    <n v="1E-4"/>
    <n v="6.0147999999999998E-3"/>
  </r>
  <r>
    <x v="6"/>
    <x v="7"/>
    <n v="183"/>
    <n v="0.93250999999999995"/>
    <n v="1"/>
    <n v="1"/>
    <n v="6.7493999999999998E-2"/>
    <n v="1E-4"/>
    <n v="1.9345E-3"/>
    <n v="5.0795E-2"/>
    <n v="1E-4"/>
    <n v="7.2915999999999996E-3"/>
    <n v="11"/>
    <n v="0.29966999999999999"/>
    <n v="0.97729999999999995"/>
    <n v="1"/>
    <n v="172"/>
    <n v="3.4879E-2"/>
    <n v="1E-4"/>
    <n v="6.0147999999999998E-3"/>
  </r>
  <r>
    <x v="6"/>
    <x v="6"/>
    <n v="138"/>
    <n v="0.96855000000000002"/>
    <n v="1"/>
    <n v="1"/>
    <n v="3.1447999999999997E-2"/>
    <n v="1E-4"/>
    <n v="1.9345E-3"/>
    <n v="3.2675000000000003E-2"/>
    <n v="1E-4"/>
    <n v="7.2915999999999996E-3"/>
    <n v="3"/>
    <n v="0.30492999999999998"/>
    <n v="0.86251"/>
    <n v="1"/>
    <n v="135"/>
    <n v="2.6624999999999999E-2"/>
    <n v="1E-4"/>
    <n v="6.0147999999999998E-3"/>
  </r>
  <r>
    <x v="6"/>
    <x v="5"/>
    <n v="134"/>
    <n v="0.96038000000000001"/>
    <n v="1"/>
    <n v="1"/>
    <n v="3.9614999999999997E-2"/>
    <n v="1E-4"/>
    <n v="1.9345E-3"/>
    <n v="3.3833000000000002E-2"/>
    <n v="1E-4"/>
    <n v="7.2915999999999996E-3"/>
    <n v="4"/>
    <n v="0.23959"/>
    <n v="0.79332000000000003"/>
    <n v="1"/>
    <n v="130"/>
    <n v="2.7501999999999999E-2"/>
    <n v="1E-4"/>
    <n v="6.0147999999999998E-3"/>
  </r>
  <r>
    <x v="6"/>
    <x v="10"/>
    <n v="31"/>
    <n v="0.99002999999999997"/>
    <n v="1"/>
    <n v="1"/>
    <n v="9.9705000000000002E-3"/>
    <n v="1E-4"/>
    <n v="1.9345E-3"/>
    <n v="1.9941E-2"/>
    <n v="1E-4"/>
    <n v="7.2915999999999996E-3"/>
    <n v="0"/>
    <s v="NA"/>
    <s v="NA"/>
    <s v="NA"/>
    <n v="31"/>
    <n v="1.9941E-2"/>
    <n v="1E-4"/>
    <n v="6.0147999999999998E-3"/>
  </r>
  <r>
    <x v="6"/>
    <x v="8"/>
    <n v="173"/>
    <n v="0.82847000000000004"/>
    <n v="1"/>
    <n v="1"/>
    <n v="0.17152999999999999"/>
    <n v="1E-4"/>
    <n v="1.9345E-3"/>
    <n v="7.6779E-2"/>
    <n v="1E-4"/>
    <n v="7.2915999999999996E-3"/>
    <n v="29"/>
    <n v="0.20576"/>
    <n v="0.90141000000000004"/>
    <n v="1"/>
    <n v="144"/>
    <n v="5.0804000000000002E-2"/>
    <n v="1E-4"/>
    <n v="6.0147999999999998E-3"/>
  </r>
  <r>
    <x v="6"/>
    <x v="11"/>
    <n v="12"/>
    <n v="0.99414999999999998"/>
    <n v="1"/>
    <n v="1"/>
    <n v="5.8453999999999997E-3"/>
    <n v="1E-4"/>
    <n v="1.9345E-3"/>
    <n v="1.1691E-2"/>
    <n v="1E-4"/>
    <n v="7.2915999999999996E-3"/>
    <n v="0"/>
    <s v="NA"/>
    <s v="NA"/>
    <s v="NA"/>
    <n v="12"/>
    <n v="1.1691E-2"/>
    <n v="1E-4"/>
    <n v="6.0147999999999998E-3"/>
  </r>
  <r>
    <x v="6"/>
    <x v="9"/>
    <n v="44"/>
    <n v="0.97455999999999998"/>
    <n v="1"/>
    <n v="1"/>
    <n v="2.5436E-2"/>
    <n v="1E-4"/>
    <n v="1.9345E-3"/>
    <n v="5.0871E-2"/>
    <n v="1E-4"/>
    <n v="7.2915999999999996E-3"/>
    <n v="0"/>
    <s v="NA"/>
    <s v="NA"/>
    <s v="NA"/>
    <n v="44"/>
    <n v="5.0871E-2"/>
    <n v="1E-4"/>
    <n v="6.0147999999999998E-3"/>
  </r>
  <r>
    <x v="6"/>
    <x v="13"/>
    <n v="19"/>
    <n v="0.99434"/>
    <n v="1"/>
    <n v="1"/>
    <n v="5.6572999999999997E-3"/>
    <n v="1E-4"/>
    <n v="1.9345E-3"/>
    <n v="1.1315E-2"/>
    <n v="1E-4"/>
    <n v="7.2915999999999996E-3"/>
    <n v="0"/>
    <s v="NA"/>
    <s v="NA"/>
    <s v="NA"/>
    <n v="19"/>
    <n v="1.1315E-2"/>
    <n v="1E-4"/>
    <n v="6.0147999999999998E-3"/>
  </r>
  <r>
    <x v="6"/>
    <x v="65"/>
    <n v="40"/>
    <n v="0.50310999999999995"/>
    <n v="0.98850000000000005"/>
    <n v="1"/>
    <n v="0.49689"/>
    <n v="1.1599E-2"/>
    <n v="9.4791E-2"/>
    <n v="5.7661999999999998E-2"/>
    <n v="1E-4"/>
    <n v="7.2915999999999996E-3"/>
    <n v="20"/>
    <n v="6.3877000000000003E-2"/>
    <n v="1.2999E-2"/>
    <n v="0.32636999999999999"/>
    <n v="20"/>
    <n v="5.1445999999999999E-2"/>
    <n v="1.2999000000000001E-3"/>
    <n v="3.6304000000000003E-2"/>
  </r>
  <r>
    <x v="6"/>
    <x v="3"/>
    <n v="29"/>
    <n v="0.9536"/>
    <n v="1"/>
    <n v="1"/>
    <n v="4.6399000000000003E-2"/>
    <n v="1E-4"/>
    <n v="1.9345E-3"/>
    <n v="2.6754E-2"/>
    <n v="1E-4"/>
    <n v="7.2915999999999996E-3"/>
    <n v="1"/>
    <n v="4.2362999999999998E-2"/>
    <n v="0.41586000000000001"/>
    <n v="0.99543000000000004"/>
    <n v="28"/>
    <n v="2.6197000000000002E-2"/>
    <n v="1E-4"/>
    <n v="6.0147999999999998E-3"/>
  </r>
  <r>
    <x v="6"/>
    <x v="66"/>
    <n v="8"/>
    <n v="0.62675000000000003"/>
    <n v="0.96960000000000002"/>
    <n v="1"/>
    <n v="0.37325000000000003"/>
    <n v="3.0497E-2"/>
    <n v="0.19667000000000001"/>
    <n v="1.244E-2"/>
    <n v="1E-4"/>
    <n v="7.2915999999999996E-3"/>
    <n v="3"/>
    <n v="2.1263000000000001E-2"/>
    <n v="4.0495999999999997E-2"/>
    <n v="0.47936000000000001"/>
    <n v="5"/>
    <n v="7.1456000000000002E-3"/>
    <n v="9.9989999999999996E-4"/>
    <n v="3.2579999999999998E-2"/>
  </r>
  <r>
    <x v="6"/>
    <x v="67"/>
    <n v="7"/>
    <n v="0.99624000000000001"/>
    <n v="1"/>
    <n v="1"/>
    <n v="3.7558000000000001E-3"/>
    <n v="1E-4"/>
    <n v="1.9345E-3"/>
    <n v="7.5116000000000002E-3"/>
    <n v="1E-4"/>
    <n v="7.2915999999999996E-3"/>
    <n v="0"/>
    <s v="NA"/>
    <s v="NA"/>
    <s v="NA"/>
    <n v="7"/>
    <n v="7.5116000000000002E-3"/>
    <n v="2.9996999999999999E-4"/>
    <n v="1.4661E-2"/>
  </r>
  <r>
    <x v="6"/>
    <x v="16"/>
    <n v="27"/>
    <n v="5.7480000000000003E-2"/>
    <n v="1E-4"/>
    <n v="3.7916E-3"/>
    <n v="0.94252000000000002"/>
    <n v="1"/>
    <n v="1"/>
    <n v="4.4610999999999998E-2"/>
    <n v="1.9997999999999999E-4"/>
    <n v="1.1849E-2"/>
    <n v="26"/>
    <n v="4.4393000000000002E-2"/>
    <n v="1.9997999999999999E-4"/>
    <n v="6.1927000000000003E-2"/>
    <n v="1"/>
    <n v="5.0303E-2"/>
    <n v="0.44746000000000002"/>
    <n v="1"/>
  </r>
  <r>
    <x v="6"/>
    <x v="29"/>
    <n v="11"/>
    <n v="0.99024999999999996"/>
    <n v="1"/>
    <n v="1"/>
    <n v="9.7459E-3"/>
    <n v="1E-4"/>
    <n v="1.9345E-3"/>
    <n v="1.9491999999999999E-2"/>
    <n v="1.9997999999999999E-4"/>
    <n v="1.1849E-2"/>
    <n v="0"/>
    <s v="NA"/>
    <s v="NA"/>
    <s v="NA"/>
    <n v="11"/>
    <n v="1.9491999999999999E-2"/>
    <n v="3.9995999999999999E-4"/>
    <n v="1.5637999999999999E-2"/>
  </r>
  <r>
    <x v="6"/>
    <x v="68"/>
    <n v="16"/>
    <n v="0.93110000000000004"/>
    <n v="1"/>
    <n v="1"/>
    <n v="6.8904000000000007E-2"/>
    <n v="1E-4"/>
    <n v="1.9345E-3"/>
    <n v="3.0335000000000001E-2"/>
    <n v="1.9997999999999999E-4"/>
    <n v="1.1849E-2"/>
    <n v="1"/>
    <n v="0.14021"/>
    <n v="0.69943"/>
    <n v="1"/>
    <n v="15"/>
    <n v="2.3009999999999999E-2"/>
    <n v="1E-4"/>
    <n v="6.0147999999999998E-3"/>
  </r>
  <r>
    <x v="6"/>
    <x v="69"/>
    <n v="16"/>
    <n v="7.8562000000000007E-2"/>
    <n v="9.9989999999999996E-4"/>
    <n v="1.6927000000000001E-2"/>
    <n v="0.92144000000000004"/>
    <n v="0.99909999999999999"/>
    <n v="1"/>
    <n v="3.4598999999999998E-2"/>
    <n v="3.9995999999999999E-4"/>
    <n v="2.1065E-2"/>
    <n v="15"/>
    <n v="3.5586E-2"/>
    <n v="8.9990999999999997E-4"/>
    <n v="0.11942999999999999"/>
    <n v="1"/>
    <n v="1.9793999999999999E-2"/>
    <n v="0.26867000000000002"/>
    <n v="1"/>
  </r>
  <r>
    <x v="6"/>
    <x v="70"/>
    <n v="15"/>
    <n v="0.92712000000000006"/>
    <n v="1"/>
    <n v="1"/>
    <n v="7.2882000000000002E-2"/>
    <n v="1E-4"/>
    <n v="1.9345E-3"/>
    <n v="3.1125E-2"/>
    <n v="3.9995999999999999E-4"/>
    <n v="2.1065E-2"/>
    <n v="1"/>
    <n v="0.14021"/>
    <n v="0.69943"/>
    <n v="1"/>
    <n v="14"/>
    <n v="2.3333E-2"/>
    <n v="1E-4"/>
    <n v="6.0147999999999998E-3"/>
  </r>
  <r>
    <x v="6"/>
    <x v="33"/>
    <n v="20"/>
    <n v="6.7336999999999994E-2"/>
    <n v="2.9996999999999999E-4"/>
    <n v="7.6857000000000002E-3"/>
    <n v="0.93266000000000004"/>
    <n v="0.99980000000000002"/>
    <n v="1"/>
    <n v="3.9053999999999998E-2"/>
    <n v="4.9994999999999998E-4"/>
    <n v="2.3698E-2"/>
    <n v="19"/>
    <n v="3.8802999999999997E-2"/>
    <n v="6.9992999999999997E-4"/>
    <n v="0.10836999999999999"/>
    <n v="1"/>
    <n v="4.3804999999999997E-2"/>
    <n v="0.42415999999999998"/>
    <n v="1"/>
  </r>
  <r>
    <x v="6"/>
    <x v="55"/>
    <n v="8"/>
    <n v="0.99065000000000003"/>
    <n v="1"/>
    <n v="1"/>
    <n v="9.3477000000000005E-3"/>
    <n v="1E-4"/>
    <n v="1.9345E-3"/>
    <n v="1.8695E-2"/>
    <n v="4.9994999999999998E-4"/>
    <n v="2.3698E-2"/>
    <n v="0"/>
    <s v="NA"/>
    <s v="NA"/>
    <s v="NA"/>
    <n v="8"/>
    <n v="1.8695E-2"/>
    <n v="1.2999000000000001E-3"/>
    <n v="3.6304000000000003E-2"/>
  </r>
  <r>
    <x v="6"/>
    <x v="71"/>
    <n v="11"/>
    <n v="0.10082000000000001"/>
    <n v="1.1199000000000001E-2"/>
    <n v="7.2220999999999994E-2"/>
    <n v="0.89917999999999998"/>
    <n v="0.9889"/>
    <n v="1"/>
    <n v="2.3321000000000001E-2"/>
    <n v="5.9993999999999998E-4"/>
    <n v="2.4728E-2"/>
    <n v="10"/>
    <n v="2.3734000000000002E-2"/>
    <n v="6.9992999999999997E-4"/>
    <n v="0.10836999999999999"/>
    <n v="1"/>
    <n v="1.9198E-2"/>
    <n v="0.26157000000000002"/>
    <n v="1"/>
  </r>
  <r>
    <x v="6"/>
    <x v="4"/>
    <n v="13"/>
    <n v="0.68928"/>
    <n v="0.99870000000000003"/>
    <n v="1"/>
    <n v="0.31072"/>
    <n v="1.3998999999999999E-3"/>
    <n v="1.7014000000000001E-2"/>
    <n v="2.886E-2"/>
    <n v="5.9993999999999998E-4"/>
    <n v="2.4728E-2"/>
    <n v="4"/>
    <n v="3.7060999999999997E-2"/>
    <n v="8.7390999999999996E-2"/>
    <n v="0.69389999999999996"/>
    <n v="9"/>
    <n v="2.5215999999999999E-2"/>
    <n v="2.6997000000000002E-3"/>
    <n v="6.0319999999999999E-2"/>
  </r>
  <r>
    <x v="6"/>
    <x v="56"/>
    <n v="7"/>
    <n v="7.5595000000000002E-3"/>
    <n v="1E-4"/>
    <n v="3.7916E-3"/>
    <n v="0.99243999999999999"/>
    <n v="1"/>
    <n v="1"/>
    <n v="1.5119E-2"/>
    <n v="5.9993999999999998E-4"/>
    <n v="2.4728E-2"/>
    <n v="7"/>
    <n v="1.5119E-2"/>
    <n v="1.9997999999999999E-4"/>
    <n v="6.1927000000000003E-2"/>
    <n v="0"/>
    <s v="NA"/>
    <s v="NA"/>
    <s v="NA"/>
  </r>
  <r>
    <x v="6"/>
    <x v="0"/>
    <n v="51"/>
    <n v="3.9823999999999998E-2"/>
    <n v="1E-4"/>
    <n v="3.7916E-3"/>
    <n v="0.96018000000000003"/>
    <n v="1"/>
    <n v="1"/>
    <n v="7.9646999999999996E-2"/>
    <n v="6.9992999999999997E-4"/>
    <n v="2.5520999999999999E-2"/>
    <n v="51"/>
    <n v="7.9646999999999996E-2"/>
    <n v="2.4997999999999999E-3"/>
    <n v="0.20125999999999999"/>
    <n v="0"/>
    <s v="NA"/>
    <s v="NA"/>
    <s v="NA"/>
  </r>
  <r>
    <x v="6"/>
    <x v="18"/>
    <n v="34"/>
    <n v="3.1293000000000001E-2"/>
    <n v="1E-4"/>
    <n v="3.7916E-3"/>
    <n v="0.96870999999999996"/>
    <n v="1"/>
    <n v="1"/>
    <n v="6.2586000000000003E-2"/>
    <n v="6.9992999999999997E-4"/>
    <n v="2.5520999999999999E-2"/>
    <n v="34"/>
    <n v="6.2586000000000003E-2"/>
    <n v="1.1999000000000001E-3"/>
    <n v="0.13933999999999999"/>
    <n v="0"/>
    <s v="NA"/>
    <s v="NA"/>
    <s v="NA"/>
  </r>
  <r>
    <x v="6"/>
    <x v="72"/>
    <n v="13"/>
    <n v="0.91898000000000002"/>
    <n v="1"/>
    <n v="1"/>
    <n v="8.1020999999999996E-2"/>
    <n v="1E-4"/>
    <n v="1.9345E-3"/>
    <n v="2.9767999999999999E-2"/>
    <n v="6.9992999999999997E-4"/>
    <n v="2.5520999999999999E-2"/>
    <n v="1"/>
    <n v="0.14021"/>
    <n v="0.69943"/>
    <n v="1"/>
    <n v="12"/>
    <n v="2.0563999999999999E-2"/>
    <n v="3.9995999999999999E-4"/>
    <n v="1.5637999999999999E-2"/>
  </r>
  <r>
    <x v="6"/>
    <x v="54"/>
    <n v="7"/>
    <n v="0.99141000000000001"/>
    <n v="1"/>
    <n v="1"/>
    <n v="8.5883000000000001E-3"/>
    <n v="1E-4"/>
    <n v="1.9345E-3"/>
    <n v="1.7177000000000001E-2"/>
    <n v="8.9990999999999997E-4"/>
    <n v="3.1597E-2"/>
    <n v="0"/>
    <s v="NA"/>
    <s v="NA"/>
    <s v="NA"/>
    <n v="7"/>
    <n v="1.7177000000000001E-2"/>
    <n v="1.7998000000000001E-3"/>
    <n v="4.5401999999999998E-2"/>
  </r>
  <r>
    <x v="6"/>
    <x v="73"/>
    <n v="6"/>
    <n v="0.83526"/>
    <n v="0.99850000000000005"/>
    <n v="1"/>
    <n v="0.16474"/>
    <n v="1.5998E-3"/>
    <n v="1.8957999999999999E-2"/>
    <n v="1.4068000000000001E-2"/>
    <n v="1.1999000000000001E-3"/>
    <n v="3.9224000000000002E-2"/>
    <n v="1"/>
    <n v="5.3754999999999997E-2"/>
    <n v="0.47765000000000002"/>
    <n v="1"/>
    <n v="5"/>
    <n v="6.1301000000000003E-3"/>
    <n v="3.9995999999999999E-4"/>
    <n v="1.5637999999999999E-2"/>
  </r>
  <r>
    <x v="6"/>
    <x v="74"/>
    <n v="6"/>
    <n v="0.83526"/>
    <n v="0.99850000000000005"/>
    <n v="1"/>
    <n v="0.16474"/>
    <n v="1.5998E-3"/>
    <n v="1.8957999999999999E-2"/>
    <n v="1.4068000000000001E-2"/>
    <n v="1.1999000000000001E-3"/>
    <n v="3.9224000000000002E-2"/>
    <n v="1"/>
    <n v="5.3754999999999997E-2"/>
    <n v="0.47765000000000002"/>
    <n v="1"/>
    <n v="5"/>
    <n v="6.1301000000000003E-3"/>
    <n v="3.9995999999999999E-4"/>
    <n v="1.5637999999999999E-2"/>
  </r>
  <r>
    <x v="6"/>
    <x v="42"/>
    <n v="17"/>
    <n v="7.8686000000000006E-2"/>
    <n v="3.9995999999999999E-4"/>
    <n v="9.0276999999999996E-3"/>
    <n v="0.92130999999999996"/>
    <n v="0.99970000000000003"/>
    <n v="1"/>
    <n v="4.1353000000000001E-2"/>
    <n v="1.4999E-3"/>
    <n v="4.7395E-2"/>
    <n v="16"/>
    <n v="4.3071999999999999E-2"/>
    <n v="2.8996999999999998E-3"/>
    <n v="0.20721999999999999"/>
    <n v="1"/>
    <n v="1.3840999999999999E-2"/>
    <n v="0.22788"/>
    <n v="1"/>
  </r>
  <r>
    <x v="7"/>
    <x v="57"/>
    <n v="218"/>
    <n v="0.43769999999999998"/>
    <n v="1.2699E-2"/>
    <n v="0.14676"/>
    <n v="0.56230000000000002"/>
    <n v="0.98740000000000006"/>
    <n v="1"/>
    <n v="0.18345"/>
    <n v="1E-4"/>
    <n v="1.5737000000000001E-2"/>
    <n v="127"/>
    <n v="0.19223000000000001"/>
    <n v="3.9995999999999999E-3"/>
    <n v="0.24773000000000001"/>
    <n v="91"/>
    <n v="0.17119000000000001"/>
    <n v="1.3998999999999999E-3"/>
    <n v="4.3527000000000003E-2"/>
  </r>
  <r>
    <x v="7"/>
    <x v="35"/>
    <n v="26"/>
    <n v="0.84877000000000002"/>
    <n v="1"/>
    <n v="1"/>
    <n v="0.15123"/>
    <n v="1E-4"/>
    <n v="2.9226E-3"/>
    <n v="8.3112000000000005E-2"/>
    <n v="1.9997999999999999E-4"/>
    <n v="1.5737000000000001E-2"/>
    <n v="3"/>
    <n v="4.9493000000000002E-2"/>
    <n v="6.2193999999999999E-2"/>
    <n v="0.87824000000000002"/>
    <n v="23"/>
    <n v="8.7497000000000005E-2"/>
    <n v="3.9995999999999999E-4"/>
    <n v="2.2109E-2"/>
  </r>
  <r>
    <x v="7"/>
    <x v="41"/>
    <n v="208"/>
    <n v="0.68459999999999999"/>
    <n v="1"/>
    <n v="1"/>
    <n v="0.31540000000000001"/>
    <n v="1E-4"/>
    <n v="2.9226E-3"/>
    <n v="0.17471999999999999"/>
    <n v="1E-4"/>
    <n v="1.5737000000000001E-2"/>
    <n v="61"/>
    <n v="0.22241"/>
    <n v="0.18967999999999999"/>
    <n v="0.99953000000000003"/>
    <n v="147"/>
    <n v="0.15493000000000001"/>
    <n v="1E-4"/>
    <n v="9.9489999999999995E-3"/>
  </r>
  <r>
    <x v="7"/>
    <x v="9"/>
    <n v="46"/>
    <n v="0.90995000000000004"/>
    <n v="1"/>
    <n v="1"/>
    <n v="9.0048000000000003E-2"/>
    <n v="1E-4"/>
    <n v="2.9226E-3"/>
    <n v="9.4350000000000003E-2"/>
    <n v="1E-4"/>
    <n v="1.5737000000000001E-2"/>
    <n v="2"/>
    <n v="1.3919000000000001E-2"/>
    <n v="1.3299E-2"/>
    <n v="0.57299999999999995"/>
    <n v="44"/>
    <n v="9.8005999999999996E-2"/>
    <n v="1E-4"/>
    <n v="9.9489999999999995E-3"/>
  </r>
  <r>
    <x v="7"/>
    <x v="58"/>
    <n v="30"/>
    <n v="0.27467999999999998"/>
    <n v="5.9993999999999998E-4"/>
    <n v="3.7196E-2"/>
    <n v="0.72531999999999996"/>
    <n v="0.99950000000000006"/>
    <n v="1"/>
    <n v="9.3956999999999999E-2"/>
    <n v="1.9997999999999999E-4"/>
    <n v="1.5737000000000001E-2"/>
    <n v="22"/>
    <n v="7.4992000000000003E-2"/>
    <n v="1E-4"/>
    <n v="4.9544999999999999E-2"/>
    <n v="8"/>
    <n v="0.14610999999999999"/>
    <n v="0.13519"/>
    <n v="0.73807999999999996"/>
  </r>
  <r>
    <x v="7"/>
    <x v="3"/>
    <n v="29"/>
    <n v="0.97111000000000003"/>
    <n v="1"/>
    <n v="1"/>
    <n v="2.8888E-2"/>
    <n v="1E-4"/>
    <n v="2.9226E-3"/>
    <n v="5.7776000000000001E-2"/>
    <n v="1E-4"/>
    <n v="1.5737000000000001E-2"/>
    <n v="0"/>
    <s v="NA"/>
    <s v="NA"/>
    <s v="NA"/>
    <n v="29"/>
    <n v="5.7776000000000001E-2"/>
    <n v="1E-4"/>
    <n v="9.9489999999999995E-3"/>
  </r>
  <r>
    <x v="7"/>
    <x v="39"/>
    <n v="19"/>
    <n v="0.87402000000000002"/>
    <n v="1"/>
    <n v="1"/>
    <n v="0.12598000000000001"/>
    <n v="1E-4"/>
    <n v="2.9226E-3"/>
    <n v="5.0207000000000002E-2"/>
    <n v="1E-4"/>
    <n v="1.5737000000000001E-2"/>
    <n v="2"/>
    <n v="4.1642999999999999E-2"/>
    <n v="0.10549"/>
    <n v="0.99953000000000003"/>
    <n v="17"/>
    <n v="5.1214999999999997E-2"/>
    <n v="1E-4"/>
    <n v="9.9489999999999995E-3"/>
  </r>
  <r>
    <x v="7"/>
    <x v="4"/>
    <n v="13"/>
    <n v="0.17046"/>
    <n v="1.1999000000000001E-3"/>
    <n v="4.5462000000000002E-2"/>
    <n v="0.82954000000000006"/>
    <n v="0.99890000000000001"/>
    <n v="1"/>
    <n v="3.4550999999999998E-2"/>
    <n v="1E-4"/>
    <n v="1.5737000000000001E-2"/>
    <n v="11"/>
    <n v="4.0048E-2"/>
    <n v="1.9997999999999999E-4"/>
    <n v="6.6059999999999994E-2"/>
    <n v="2"/>
    <n v="4.3169999999999997E-3"/>
    <n v="2.9996999999999999E-4"/>
    <n v="1.9897999999999999E-2"/>
  </r>
  <r>
    <x v="7"/>
    <x v="43"/>
    <n v="12"/>
    <n v="0.90081999999999995"/>
    <n v="0.99990000000000001"/>
    <n v="1"/>
    <n v="9.9181000000000005E-2"/>
    <n v="1.9997999999999999E-4"/>
    <n v="4.8709000000000001E-3"/>
    <n v="3.9820000000000001E-2"/>
    <n v="1.9997999999999999E-4"/>
    <n v="1.5737000000000001E-2"/>
    <n v="1"/>
    <n v="4.8751999999999997E-2"/>
    <n v="0.27046999999999999"/>
    <n v="0.99953000000000003"/>
    <n v="11"/>
    <n v="3.9008000000000001E-2"/>
    <n v="1.9997999999999999E-4"/>
    <n v="1.5306E-2"/>
  </r>
  <r>
    <x v="7"/>
    <x v="45"/>
    <n v="5"/>
    <n v="0.99241999999999997"/>
    <n v="1"/>
    <n v="1"/>
    <n v="7.5792999999999998E-3"/>
    <n v="1E-4"/>
    <n v="2.9226E-3"/>
    <n v="1.5159000000000001E-2"/>
    <n v="1.9997999999999999E-4"/>
    <n v="1.5737000000000001E-2"/>
    <n v="0"/>
    <s v="NA"/>
    <s v="NA"/>
    <s v="NA"/>
    <n v="5"/>
    <n v="1.5159000000000001E-2"/>
    <n v="4.9994999999999998E-4"/>
    <n v="2.2610999999999999E-2"/>
  </r>
  <r>
    <x v="7"/>
    <x v="40"/>
    <n v="6"/>
    <n v="0.83091999999999999"/>
    <n v="0.98419999999999996"/>
    <n v="1"/>
    <n v="0.16908000000000001"/>
    <n v="1.5897999999999999E-2"/>
    <n v="0.14197000000000001"/>
    <n v="2.0438000000000001E-2"/>
    <n v="1.9997999999999999E-4"/>
    <n v="1.5737000000000001E-2"/>
    <n v="1"/>
    <n v="4.6833E-2"/>
    <n v="0.26646999999999998"/>
    <n v="0.99953000000000003"/>
    <n v="5"/>
    <n v="1.5159000000000001E-2"/>
    <n v="4.9994999999999998E-4"/>
    <n v="2.2610999999999999E-2"/>
  </r>
  <r>
    <x v="7"/>
    <x v="46"/>
    <n v="5"/>
    <n v="0.99241999999999997"/>
    <n v="1"/>
    <n v="1"/>
    <n v="7.5792999999999998E-3"/>
    <n v="1E-4"/>
    <n v="2.9226E-3"/>
    <n v="1.5159000000000001E-2"/>
    <n v="1.9997999999999999E-4"/>
    <n v="1.5737000000000001E-2"/>
    <n v="0"/>
    <s v="NA"/>
    <s v="NA"/>
    <s v="NA"/>
    <n v="5"/>
    <n v="1.5159000000000001E-2"/>
    <n v="4.9994999999999998E-4"/>
    <n v="2.2610999999999999E-2"/>
  </r>
  <r>
    <x v="7"/>
    <x v="47"/>
    <n v="5"/>
    <n v="0.99241999999999997"/>
    <n v="1"/>
    <n v="1"/>
    <n v="7.5792999999999998E-3"/>
    <n v="1E-4"/>
    <n v="2.9226E-3"/>
    <n v="1.5159000000000001E-2"/>
    <n v="1.9997999999999999E-4"/>
    <n v="1.5737000000000001E-2"/>
    <n v="0"/>
    <s v="NA"/>
    <s v="NA"/>
    <s v="NA"/>
    <n v="5"/>
    <n v="1.5159000000000001E-2"/>
    <n v="4.9994999999999998E-4"/>
    <n v="2.2610999999999999E-2"/>
  </r>
  <r>
    <x v="7"/>
    <x v="75"/>
    <n v="10"/>
    <n v="0.87888999999999995"/>
    <n v="0.99960000000000004"/>
    <n v="1"/>
    <n v="0.12111"/>
    <n v="4.9994999999999998E-4"/>
    <n v="1.1365999999999999E-2"/>
    <n v="4.6247000000000003E-2"/>
    <n v="2.9996999999999999E-4"/>
    <n v="1.9179000000000002E-2"/>
    <n v="1"/>
    <n v="2.0150999999999999E-2"/>
    <n v="0.12609000000000001"/>
    <n v="0.99953000000000003"/>
    <n v="9"/>
    <n v="4.9147000000000003E-2"/>
    <n v="1.2999000000000001E-3"/>
    <n v="4.3111999999999998E-2"/>
  </r>
  <r>
    <x v="7"/>
    <x v="28"/>
    <n v="18"/>
    <n v="0.22541"/>
    <n v="2.0998000000000002E-3"/>
    <n v="5.5079000000000003E-2"/>
    <n v="0.77459"/>
    <n v="0.998"/>
    <n v="1"/>
    <n v="6.1010000000000002E-2"/>
    <n v="2.9996999999999999E-4"/>
    <n v="1.9179000000000002E-2"/>
    <n v="14"/>
    <n v="4.3325000000000002E-2"/>
    <n v="1E-4"/>
    <n v="4.9544999999999999E-2"/>
    <n v="4"/>
    <n v="0.12291000000000001"/>
    <n v="0.18428"/>
    <n v="0.77385999999999999"/>
  </r>
  <r>
    <x v="7"/>
    <x v="50"/>
    <n v="7"/>
    <n v="0.29303000000000001"/>
    <n v="8.7890999999999997E-2"/>
    <n v="0.37619999999999998"/>
    <n v="0.70696999999999999"/>
    <n v="0.91220999999999997"/>
    <n v="1"/>
    <n v="2.5968999999999999E-2"/>
    <n v="2.9996999999999999E-4"/>
    <n v="1.9179000000000002E-2"/>
    <n v="5"/>
    <n v="2.8417999999999999E-2"/>
    <n v="1.3998999999999999E-3"/>
    <n v="9.9089999999999998E-2"/>
    <n v="2"/>
    <n v="1.9847E-2"/>
    <n v="2.6397E-2"/>
    <n v="0.35493999999999998"/>
  </r>
  <r>
    <x v="7"/>
    <x v="76"/>
    <n v="7"/>
    <n v="0.42429"/>
    <n v="0.31967000000000001"/>
    <n v="0.76585999999999999"/>
    <n v="0.57571000000000006"/>
    <n v="0.68042999999999998"/>
    <n v="1"/>
    <n v="2.8327999999999999E-2"/>
    <n v="4.9994999999999998E-4"/>
    <n v="3.0085000000000001E-2"/>
    <n v="4"/>
    <n v="1.7298999999999998E-2"/>
    <n v="1.3998999999999999E-3"/>
    <n v="9.9089999999999998E-2"/>
    <n v="3"/>
    <n v="4.3034999999999997E-2"/>
    <n v="4.9794999999999999E-2"/>
    <n v="0.46655000000000002"/>
  </r>
  <r>
    <x v="7"/>
    <x v="5"/>
    <n v="145"/>
    <n v="0.82328999999999997"/>
    <n v="1"/>
    <n v="1"/>
    <n v="0.17671000000000001"/>
    <n v="1E-4"/>
    <n v="2.9226E-3"/>
    <n v="0.18593999999999999"/>
    <n v="5.9993999999999998E-4"/>
    <n v="3.4097000000000002E-2"/>
    <n v="20"/>
    <n v="0.39288000000000001"/>
    <n v="0.9869"/>
    <n v="0.99953000000000003"/>
    <n v="125"/>
    <n v="0.15282999999999999"/>
    <n v="1E-4"/>
    <n v="9.9489999999999995E-3"/>
  </r>
  <r>
    <x v="7"/>
    <x v="77"/>
    <n v="10"/>
    <n v="0.77944999999999998"/>
    <n v="0.98899999999999999"/>
    <n v="1"/>
    <n v="0.22055"/>
    <n v="1.1098999999999999E-2"/>
    <n v="0.10808"/>
    <n v="5.0608E-2"/>
    <n v="6.9992999999999997E-4"/>
    <n v="3.7685999999999997E-2"/>
    <n v="2"/>
    <n v="2.3761000000000001E-2"/>
    <n v="3.7696E-2"/>
    <n v="0.79684999999999995"/>
    <n v="8"/>
    <n v="5.7320000000000003E-2"/>
    <n v="5.6994000000000003E-3"/>
    <n v="0.12601999999999999"/>
  </r>
  <r>
    <x v="7"/>
    <x v="11"/>
    <n v="13"/>
    <n v="0.96775999999999995"/>
    <n v="1"/>
    <n v="1"/>
    <n v="3.2238000000000003E-2"/>
    <n v="1E-4"/>
    <n v="2.9226E-3"/>
    <n v="6.4476000000000006E-2"/>
    <n v="7.9991999999999997E-4"/>
    <n v="3.8968000000000003E-2"/>
    <n v="0"/>
    <s v="NA"/>
    <s v="NA"/>
    <s v="NA"/>
    <n v="13"/>
    <n v="6.4476000000000006E-2"/>
    <n v="8.9990999999999997E-4"/>
    <n v="3.0876000000000001E-2"/>
  </r>
  <r>
    <x v="7"/>
    <x v="78"/>
    <n v="7"/>
    <n v="0.98419999999999996"/>
    <n v="1"/>
    <n v="1"/>
    <n v="1.5796000000000001E-2"/>
    <n v="1E-4"/>
    <n v="2.9226E-3"/>
    <n v="3.1592000000000002E-2"/>
    <n v="7.9991999999999997E-4"/>
    <n v="3.8968000000000003E-2"/>
    <n v="0"/>
    <s v="NA"/>
    <s v="NA"/>
    <s v="NA"/>
    <n v="7"/>
    <n v="3.1592000000000002E-2"/>
    <n v="5.9993999999999998E-4"/>
    <n v="2.4872999999999999E-2"/>
  </r>
  <r>
    <x v="7"/>
    <x v="79"/>
    <n v="6"/>
    <n v="0.17641000000000001"/>
    <n v="2.0798000000000001E-2"/>
    <n v="0.18915000000000001"/>
    <n v="0.82359000000000004"/>
    <n v="0.97929999999999995"/>
    <n v="1"/>
    <n v="2.7879000000000001E-2"/>
    <n v="9.9989999999999996E-4"/>
    <n v="4.2620999999999999E-2"/>
    <n v="5"/>
    <n v="2.8417999999999999E-2"/>
    <n v="1.3998999999999999E-3"/>
    <n v="9.9089999999999998E-2"/>
    <n v="1"/>
    <n v="2.5183000000000001E-2"/>
    <n v="0.15107999999999999"/>
    <n v="0.73807999999999996"/>
  </r>
  <r>
    <x v="7"/>
    <x v="80"/>
    <n v="6"/>
    <n v="0.17641000000000001"/>
    <n v="2.0798000000000001E-2"/>
    <n v="0.18915000000000001"/>
    <n v="0.82359000000000004"/>
    <n v="0.97929999999999995"/>
    <n v="1"/>
    <n v="2.7879000000000001E-2"/>
    <n v="9.9989999999999996E-4"/>
    <n v="4.2620999999999999E-2"/>
    <n v="5"/>
    <n v="2.8417999999999999E-2"/>
    <n v="1.3998999999999999E-3"/>
    <n v="9.9089999999999998E-2"/>
    <n v="1"/>
    <n v="2.5183000000000001E-2"/>
    <n v="0.15107999999999999"/>
    <n v="0.73807999999999996"/>
  </r>
  <r>
    <x v="7"/>
    <x v="81"/>
    <n v="6"/>
    <n v="0.17641000000000001"/>
    <n v="2.0798000000000001E-2"/>
    <n v="0.18915000000000001"/>
    <n v="0.82359000000000004"/>
    <n v="0.97929999999999995"/>
    <n v="1"/>
    <n v="2.7879000000000001E-2"/>
    <n v="9.9989999999999996E-4"/>
    <n v="4.2620999999999999E-2"/>
    <n v="5"/>
    <n v="2.8417999999999999E-2"/>
    <n v="1.3998999999999999E-3"/>
    <n v="9.9089999999999998E-2"/>
    <n v="1"/>
    <n v="2.5183000000000001E-2"/>
    <n v="0.15107999999999999"/>
    <n v="0.73807999999999996"/>
  </r>
  <r>
    <x v="7"/>
    <x v="82"/>
    <n v="23"/>
    <n v="0.88668000000000002"/>
    <n v="1"/>
    <n v="1"/>
    <n v="0.11332"/>
    <n v="1E-4"/>
    <n v="2.9226E-3"/>
    <n v="0.10548"/>
    <n v="1.2999000000000001E-3"/>
    <n v="4.9251000000000003E-2"/>
    <n v="2"/>
    <n v="0.30336000000000002"/>
    <n v="0.65103"/>
    <n v="0.99953000000000003"/>
    <n v="21"/>
    <n v="8.6628999999999998E-2"/>
    <n v="2.9996999999999999E-4"/>
    <n v="1.9897999999999999E-2"/>
  </r>
  <r>
    <x v="7"/>
    <x v="83"/>
    <n v="5"/>
    <n v="0.98829999999999996"/>
    <n v="0.99990000000000001"/>
    <n v="1"/>
    <n v="1.1698E-2"/>
    <n v="1.9997999999999999E-4"/>
    <n v="4.8709000000000001E-3"/>
    <n v="2.3394999999999999E-2"/>
    <n v="1.2999000000000001E-3"/>
    <n v="4.9251000000000003E-2"/>
    <n v="0"/>
    <s v="NA"/>
    <s v="NA"/>
    <s v="NA"/>
    <n v="5"/>
    <n v="2.3394999999999999E-2"/>
    <n v="1.3998999999999999E-3"/>
    <n v="4.3527000000000003E-2"/>
  </r>
  <r>
    <x v="7"/>
    <x v="23"/>
    <n v="11"/>
    <n v="0.27289000000000002"/>
    <n v="2.6897000000000001E-2"/>
    <n v="0.20232"/>
    <n v="0.72711000000000003"/>
    <n v="0.97319999999999995"/>
    <n v="1"/>
    <n v="5.9026000000000002E-2"/>
    <n v="1.2999000000000001E-3"/>
    <n v="4.9251000000000003E-2"/>
    <n v="8"/>
    <n v="4.0799000000000002E-2"/>
    <n v="9.9989999999999996E-4"/>
    <n v="9.9089999999999998E-2"/>
    <n v="3"/>
    <n v="0.10763"/>
    <n v="0.21007999999999999"/>
    <n v="0.81652000000000002"/>
  </r>
  <r>
    <x v="8"/>
    <x v="57"/>
    <n v="198"/>
    <n v="0.47355999999999998"/>
    <n v="3.7595999999999997E-2"/>
    <n v="0.31580999999999998"/>
    <n v="0.52644000000000002"/>
    <n v="0.96250000000000002"/>
    <n v="1"/>
    <n v="0.28993000000000002"/>
    <n v="1E-4"/>
    <n v="3.6956000000000003E-2"/>
    <n v="102"/>
    <n v="0.25947999999999999"/>
    <n v="1E-4"/>
    <n v="8.9290999999999995E-2"/>
    <n v="96"/>
    <n v="0.32228000000000001"/>
    <n v="1.1299E-2"/>
    <n v="0.40811999999999998"/>
  </r>
  <r>
    <x v="8"/>
    <x v="63"/>
    <n v="8"/>
    <n v="0.61875000000000002"/>
    <n v="0.80222000000000004"/>
    <n v="1"/>
    <n v="0.38124999999999998"/>
    <n v="0.19788"/>
    <n v="0.65298"/>
    <n v="7.7298000000000006E-2"/>
    <n v="1E-4"/>
    <n v="3.6956000000000003E-2"/>
    <n v="3"/>
    <n v="8.6397000000000002E-2"/>
    <n v="1.8498000000000001E-2"/>
    <n v="0.51620999999999995"/>
    <n v="5"/>
    <n v="7.1837999999999999E-2"/>
    <n v="4.9994999999999998E-4"/>
    <n v="0.15801000000000001"/>
  </r>
  <r>
    <x v="8"/>
    <x v="62"/>
    <n v="7"/>
    <n v="0.56569999999999998"/>
    <n v="0.64603999999999995"/>
    <n v="1"/>
    <n v="0.43430000000000002"/>
    <n v="0.35405999999999999"/>
    <n v="0.82238999999999995"/>
    <n v="8.5517999999999997E-2"/>
    <n v="1.9997999999999999E-4"/>
    <n v="3.6956000000000003E-2"/>
    <n v="3"/>
    <n v="8.6397000000000002E-2"/>
    <n v="1.8498000000000001E-2"/>
    <n v="0.51620999999999995"/>
    <n v="4"/>
    <n v="8.4858000000000003E-2"/>
    <n v="4.0996000000000001E-3"/>
    <n v="0.33654000000000001"/>
  </r>
  <r>
    <x v="8"/>
    <x v="64"/>
    <n v="7"/>
    <n v="0.56569999999999998"/>
    <n v="0.64603999999999995"/>
    <n v="1"/>
    <n v="0.43430000000000002"/>
    <n v="0.35405999999999999"/>
    <n v="0.82238999999999995"/>
    <n v="8.5517999999999997E-2"/>
    <n v="1.9997999999999999E-4"/>
    <n v="3.6956000000000003E-2"/>
    <n v="3"/>
    <n v="8.6397000000000002E-2"/>
    <n v="1.8498000000000001E-2"/>
    <n v="0.51620999999999995"/>
    <n v="4"/>
    <n v="8.4858000000000003E-2"/>
    <n v="4.0996000000000001E-3"/>
    <n v="0.33654000000000001"/>
  </r>
  <r>
    <x v="8"/>
    <x v="34"/>
    <n v="20"/>
    <n v="0.42471999999999999"/>
    <n v="0.11849"/>
    <n v="0.58172000000000001"/>
    <n v="0.57528000000000001"/>
    <n v="0.88161"/>
    <n v="1"/>
    <n v="0.17745"/>
    <n v="1.9997999999999999E-4"/>
    <n v="3.6956000000000003E-2"/>
    <n v="12"/>
    <n v="0.18908"/>
    <n v="1.1098999999999999E-2"/>
    <n v="0.51620999999999995"/>
    <n v="8"/>
    <n v="0.16001000000000001"/>
    <n v="6.9993E-3"/>
    <n v="0.3981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371B5-1901-4718-89D1-400997B95169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>
  <location ref="A3:G45" firstHeaderRow="1" firstDataRow="3" firstDataCol="1"/>
  <pivotFields count="20">
    <pivotField axis="axisCol" multipleItemSelectionAllowed="1" showAll="0">
      <items count="10">
        <item x="0"/>
        <item x="1"/>
        <item h="1" x="2"/>
        <item x="3"/>
        <item h="1" x="4"/>
        <item h="1" x="5"/>
        <item h="1" x="6"/>
        <item h="1" x="7"/>
        <item h="1" x="8"/>
        <item t="default"/>
      </items>
    </pivotField>
    <pivotField axis="axisRow" showAll="0" sortType="descending">
      <items count="85">
        <item x="36"/>
        <item x="37"/>
        <item x="60"/>
        <item x="32"/>
        <item x="24"/>
        <item x="19"/>
        <item x="34"/>
        <item x="73"/>
        <item x="35"/>
        <item x="48"/>
        <item x="38"/>
        <item x="75"/>
        <item x="82"/>
        <item x="4"/>
        <item x="22"/>
        <item x="20"/>
        <item x="77"/>
        <item x="47"/>
        <item x="9"/>
        <item x="3"/>
        <item x="76"/>
        <item x="41"/>
        <item x="39"/>
        <item x="68"/>
        <item x="72"/>
        <item x="54"/>
        <item x="55"/>
        <item x="70"/>
        <item x="0"/>
        <item x="21"/>
        <item x="61"/>
        <item x="23"/>
        <item x="44"/>
        <item x="29"/>
        <item x="65"/>
        <item x="52"/>
        <item x="74"/>
        <item x="67"/>
        <item x="66"/>
        <item x="42"/>
        <item x="53"/>
        <item x="26"/>
        <item x="10"/>
        <item x="13"/>
        <item x="12"/>
        <item x="51"/>
        <item x="64"/>
        <item x="62"/>
        <item x="57"/>
        <item x="58"/>
        <item x="71"/>
        <item x="63"/>
        <item x="33"/>
        <item x="69"/>
        <item x="78"/>
        <item x="30"/>
        <item x="79"/>
        <item x="81"/>
        <item x="2"/>
        <item x="14"/>
        <item x="17"/>
        <item x="25"/>
        <item x="50"/>
        <item x="15"/>
        <item x="80"/>
        <item x="1"/>
        <item x="59"/>
        <item x="83"/>
        <item x="28"/>
        <item x="49"/>
        <item x="8"/>
        <item x="5"/>
        <item x="46"/>
        <item x="45"/>
        <item x="40"/>
        <item x="11"/>
        <item x="43"/>
        <item x="6"/>
        <item x="7"/>
        <item x="31"/>
        <item x="27"/>
        <item x="56"/>
        <item x="18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0">
    <i>
      <x v="78"/>
    </i>
    <i>
      <x v="75"/>
    </i>
    <i>
      <x v="71"/>
    </i>
    <i>
      <x v="19"/>
    </i>
    <i>
      <x v="77"/>
    </i>
    <i>
      <x v="42"/>
    </i>
    <i>
      <x v="70"/>
    </i>
    <i>
      <x v="43"/>
    </i>
    <i>
      <x v="13"/>
    </i>
    <i>
      <x v="28"/>
    </i>
    <i>
      <x v="83"/>
    </i>
    <i>
      <x v="59"/>
    </i>
    <i>
      <x v="31"/>
    </i>
    <i>
      <x v="60"/>
    </i>
    <i>
      <x v="80"/>
    </i>
    <i>
      <x v="18"/>
    </i>
    <i>
      <x v="4"/>
    </i>
    <i>
      <x v="44"/>
    </i>
    <i>
      <x v="14"/>
    </i>
    <i>
      <x v="69"/>
    </i>
    <i>
      <x v="81"/>
    </i>
    <i>
      <x v="3"/>
    </i>
    <i>
      <x v="5"/>
    </i>
    <i>
      <x v="52"/>
    </i>
    <i>
      <x v="79"/>
    </i>
    <i>
      <x v="55"/>
    </i>
    <i>
      <x v="15"/>
    </i>
    <i>
      <x v="58"/>
    </i>
    <i>
      <x v="26"/>
    </i>
    <i>
      <x v="9"/>
    </i>
    <i>
      <x v="29"/>
    </i>
    <i>
      <x v="25"/>
    </i>
    <i>
      <x v="33"/>
    </i>
    <i>
      <x v="61"/>
    </i>
    <i>
      <x v="41"/>
    </i>
    <i>
      <x v="63"/>
    </i>
    <i>
      <x v="82"/>
    </i>
    <i>
      <x v="65"/>
    </i>
    <i>
      <x v="6"/>
    </i>
    <i>
      <x v="68"/>
    </i>
  </rowItems>
  <colFields count="2">
    <field x="0"/>
    <field x="-2"/>
  </colFields>
  <colItems count="6">
    <i>
      <x/>
      <x/>
    </i>
    <i r="1" i="1">
      <x v="1"/>
    </i>
    <i>
      <x v="1"/>
      <x/>
    </i>
    <i r="1" i="1">
      <x v="1"/>
    </i>
    <i>
      <x v="3"/>
      <x/>
    </i>
    <i r="1" i="1">
      <x v="1"/>
    </i>
  </colItems>
  <dataFields count="2">
    <dataField name="Count of Genes (up)" fld="12" subtotal="count" baseField="1" baseItem="0"/>
    <dataField name="Sum of Genes (down)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273F7-4FD8-4C07-9EA4-B0E535047A6B}" name="Table1" displayName="Table1" ref="A1:T170" totalsRowShown="0">
  <autoFilter ref="A1:T170" xr:uid="{48E273F7-4FD8-4C07-9EA4-B0E535047A6B}"/>
  <tableColumns count="20">
    <tableColumn id="1" xr3:uid="{AF157EC4-09E3-41B3-BD80-74069FF8A8DD}" name="Comparison"/>
    <tableColumn id="2" xr3:uid="{C08BCD6C-EA60-4351-820B-FACF7F5FFCAF}" name="Name"/>
    <tableColumn id="3" xr3:uid="{A6B04612-966B-462F-8FE9-91983DE3F838}" name="Genes (tot)"/>
    <tableColumn id="4" xr3:uid="{00B0560E-0701-47CD-8F31-E5330AAECEC9}" name="Stat (dist.dir.up)"/>
    <tableColumn id="5" xr3:uid="{DAE6CEA9-B567-49FC-9769-F27A192EC2B6}" name="p (dist.dir.up)"/>
    <tableColumn id="6" xr3:uid="{7AA84578-C8AD-4EED-8B60-CD4B32ACAB32}" name="p adj (dist.dir.up)"/>
    <tableColumn id="7" xr3:uid="{424D7486-1788-4610-ABDE-E432FDFD911E}" name="Stat (dist.dir.dn)"/>
    <tableColumn id="8" xr3:uid="{49FD35E7-57CE-49CF-94C4-78A5DCB01169}" name="p (dist.dir.dn)"/>
    <tableColumn id="9" xr3:uid="{BAB1E2A6-12FE-4B32-BFC5-13BD2B740CA2}" name="p adj (dist.dir.dn)"/>
    <tableColumn id="10" xr3:uid="{0189ABEF-D769-4357-A52E-66F183D0882F}" name="Stat (non-dir.)"/>
    <tableColumn id="11" xr3:uid="{1CD77AAC-5A36-4333-8E31-6075E9E860B8}" name="p (non-dir.)"/>
    <tableColumn id="12" xr3:uid="{A211A7E7-1D98-4CB5-B5AF-882BF8CC9B64}" name="p adj (non-dir.)"/>
    <tableColumn id="13" xr3:uid="{24D6264F-18B8-4023-8A5C-90ED9D2BD463}" name="Genes (up)"/>
    <tableColumn id="14" xr3:uid="{A873B041-D300-4010-847A-BE8D011C5696}" name="Stat (mix.dir.up)"/>
    <tableColumn id="15" xr3:uid="{44FA182F-820F-420F-B835-B7F0DEE6129E}" name="p (mix.dir.up)"/>
    <tableColumn id="16" xr3:uid="{F704B1B5-C8FC-445F-B71D-884906E6B29E}" name="p adj (mix.dir.up)"/>
    <tableColumn id="17" xr3:uid="{147D636D-A843-4036-BB86-5E9B86D1866C}" name="Genes (down)"/>
    <tableColumn id="18" xr3:uid="{15D2BA5E-3E60-4EC5-837C-7221FA9182A4}" name="Stat (mix.dir.dn)"/>
    <tableColumn id="19" xr3:uid="{688D62A4-4331-4C1F-A0DB-07A2D953C5B5}" name="p (mix.dir.dn)"/>
    <tableColumn id="20" xr3:uid="{A534BA7A-DBC9-4301-BC8C-46E8CB35A836}" name="p adj (mix.dir.dn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heme - Viridis">
      <a:dk1>
        <a:sysClr val="windowText" lastClr="000000"/>
      </a:dk1>
      <a:lt1>
        <a:sysClr val="window" lastClr="FFFFFF"/>
      </a:lt1>
      <a:dk2>
        <a:srgbClr val="000000"/>
      </a:dk2>
      <a:lt2>
        <a:srgbClr val="E7E6E6"/>
      </a:lt2>
      <a:accent1>
        <a:srgbClr val="440154"/>
      </a:accent1>
      <a:accent2>
        <a:srgbClr val="414487"/>
      </a:accent2>
      <a:accent3>
        <a:srgbClr val="2A788E"/>
      </a:accent3>
      <a:accent4>
        <a:srgbClr val="22A884"/>
      </a:accent4>
      <a:accent5>
        <a:srgbClr val="7AD151"/>
      </a:accent5>
      <a:accent6>
        <a:srgbClr val="FDE725"/>
      </a:accent6>
      <a:hlink>
        <a:srgbClr val="0563C1"/>
      </a:hlink>
      <a:folHlink>
        <a:srgbClr val="954F72"/>
      </a:folHlink>
    </a:clrScheme>
    <a:fontScheme name="Paper figure">
      <a:majorFont>
        <a:latin typeface="Calibri Light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14F2-F4A7-4525-B835-A383687CDB26}">
  <dimension ref="A3:G45"/>
  <sheetViews>
    <sheetView tabSelected="1" workbookViewId="0">
      <selection activeCell="E13" sqref="E13"/>
    </sheetView>
  </sheetViews>
  <sheetFormatPr defaultRowHeight="14.25" x14ac:dyDescent="0.2"/>
  <cols>
    <col min="1" max="1" width="69.5" bestFit="1" customWidth="1"/>
    <col min="2" max="2" width="19.125" bestFit="1" customWidth="1"/>
    <col min="3" max="3" width="20.125" bestFit="1" customWidth="1"/>
    <col min="4" max="4" width="19.125" bestFit="1" customWidth="1"/>
    <col min="5" max="5" width="20.125" bestFit="1" customWidth="1"/>
    <col min="6" max="6" width="19.125" bestFit="1" customWidth="1"/>
    <col min="7" max="7" width="20.125" bestFit="1" customWidth="1"/>
    <col min="8" max="8" width="19.125" bestFit="1" customWidth="1"/>
    <col min="9" max="9" width="20.125" bestFit="1" customWidth="1"/>
    <col min="10" max="10" width="24.25" bestFit="1" customWidth="1"/>
    <col min="11" max="11" width="25.375" bestFit="1" customWidth="1"/>
  </cols>
  <sheetData>
    <row r="3" spans="1:7" x14ac:dyDescent="0.2">
      <c r="B3" s="1" t="s">
        <v>115</v>
      </c>
    </row>
    <row r="4" spans="1:7" x14ac:dyDescent="0.2">
      <c r="B4" t="s">
        <v>49</v>
      </c>
      <c r="D4" t="s">
        <v>57</v>
      </c>
      <c r="F4" t="s">
        <v>81</v>
      </c>
    </row>
    <row r="5" spans="1:7" x14ac:dyDescent="0.2">
      <c r="A5" s="1" t="s">
        <v>114</v>
      </c>
      <c r="B5" t="s">
        <v>118</v>
      </c>
      <c r="C5" t="s">
        <v>116</v>
      </c>
      <c r="D5" t="s">
        <v>118</v>
      </c>
      <c r="E5" t="s">
        <v>116</v>
      </c>
      <c r="F5" t="s">
        <v>118</v>
      </c>
      <c r="G5" t="s">
        <v>116</v>
      </c>
    </row>
    <row r="6" spans="1:7" x14ac:dyDescent="0.2">
      <c r="A6" s="2" t="s">
        <v>27</v>
      </c>
      <c r="B6" s="3">
        <v>1</v>
      </c>
      <c r="C6" s="3">
        <v>163</v>
      </c>
      <c r="D6" s="3">
        <v>1</v>
      </c>
      <c r="E6" s="3">
        <v>179</v>
      </c>
      <c r="F6" s="3">
        <v>1</v>
      </c>
      <c r="G6" s="3">
        <v>163</v>
      </c>
    </row>
    <row r="7" spans="1:7" x14ac:dyDescent="0.2">
      <c r="A7" s="2" t="s">
        <v>31</v>
      </c>
      <c r="B7" s="3">
        <v>1</v>
      </c>
      <c r="C7" s="3">
        <v>12</v>
      </c>
      <c r="D7" s="3">
        <v>1</v>
      </c>
      <c r="E7" s="3">
        <v>13</v>
      </c>
      <c r="F7" s="3">
        <v>1</v>
      </c>
      <c r="G7" s="3">
        <v>12</v>
      </c>
    </row>
    <row r="8" spans="1:7" x14ac:dyDescent="0.2">
      <c r="A8" s="2" t="s">
        <v>25</v>
      </c>
      <c r="B8" s="3">
        <v>1</v>
      </c>
      <c r="C8" s="3">
        <v>120</v>
      </c>
      <c r="D8" s="3">
        <v>1</v>
      </c>
      <c r="E8" s="3">
        <v>132</v>
      </c>
      <c r="F8" s="3">
        <v>1</v>
      </c>
      <c r="G8" s="3">
        <v>122</v>
      </c>
    </row>
    <row r="9" spans="1:7" x14ac:dyDescent="0.2">
      <c r="A9" s="2" t="s">
        <v>23</v>
      </c>
      <c r="B9" s="3">
        <v>1</v>
      </c>
      <c r="C9" s="3">
        <v>28</v>
      </c>
      <c r="D9" s="3">
        <v>1</v>
      </c>
      <c r="E9" s="3">
        <v>28</v>
      </c>
      <c r="F9" s="3">
        <v>1</v>
      </c>
      <c r="G9" s="3">
        <v>28</v>
      </c>
    </row>
    <row r="10" spans="1:7" x14ac:dyDescent="0.2">
      <c r="A10" s="2" t="s">
        <v>26</v>
      </c>
      <c r="B10" s="3">
        <v>1</v>
      </c>
      <c r="C10" s="3">
        <v>124</v>
      </c>
      <c r="D10" s="3">
        <v>1</v>
      </c>
      <c r="E10" s="3">
        <v>137</v>
      </c>
      <c r="F10" s="3">
        <v>1</v>
      </c>
      <c r="G10" s="3">
        <v>128</v>
      </c>
    </row>
    <row r="11" spans="1:7" x14ac:dyDescent="0.2">
      <c r="A11" s="2" t="s">
        <v>30</v>
      </c>
      <c r="B11" s="3">
        <v>1</v>
      </c>
      <c r="C11" s="3">
        <v>29</v>
      </c>
      <c r="D11" s="3">
        <v>1</v>
      </c>
      <c r="E11" s="3">
        <v>33</v>
      </c>
      <c r="F11" s="3">
        <v>1</v>
      </c>
      <c r="G11" s="3">
        <v>31</v>
      </c>
    </row>
    <row r="12" spans="1:7" x14ac:dyDescent="0.2">
      <c r="A12" s="2" t="s">
        <v>28</v>
      </c>
      <c r="B12" s="3">
        <v>1</v>
      </c>
      <c r="C12" s="3">
        <v>127</v>
      </c>
      <c r="D12" s="3">
        <v>1</v>
      </c>
      <c r="E12" s="3">
        <v>146</v>
      </c>
      <c r="F12" s="3">
        <v>1</v>
      </c>
      <c r="G12" s="3">
        <v>131</v>
      </c>
    </row>
    <row r="13" spans="1:7" x14ac:dyDescent="0.2">
      <c r="A13" s="2" t="s">
        <v>33</v>
      </c>
      <c r="B13" s="3">
        <v>1</v>
      </c>
      <c r="C13" s="3">
        <v>13</v>
      </c>
      <c r="D13" s="3">
        <v>1</v>
      </c>
      <c r="E13" s="3">
        <v>19</v>
      </c>
      <c r="F13" s="3">
        <v>1</v>
      </c>
      <c r="G13" s="3">
        <v>17</v>
      </c>
    </row>
    <row r="14" spans="1:7" x14ac:dyDescent="0.2">
      <c r="A14" s="2" t="s">
        <v>24</v>
      </c>
      <c r="B14" s="3">
        <v>1</v>
      </c>
      <c r="C14" s="3">
        <v>10</v>
      </c>
      <c r="D14" s="3">
        <v>1</v>
      </c>
      <c r="E14" s="3">
        <v>10</v>
      </c>
      <c r="F14" s="3"/>
      <c r="G14" s="3"/>
    </row>
    <row r="15" spans="1:7" x14ac:dyDescent="0.2">
      <c r="A15" s="2" t="s">
        <v>19</v>
      </c>
      <c r="B15" s="3">
        <v>1</v>
      </c>
      <c r="C15" s="3">
        <v>2</v>
      </c>
      <c r="D15" s="3">
        <v>1</v>
      </c>
      <c r="E15" s="3">
        <v>3</v>
      </c>
      <c r="F15" s="3"/>
      <c r="G15" s="3"/>
    </row>
    <row r="16" spans="1:7" x14ac:dyDescent="0.2">
      <c r="A16" s="2" t="s">
        <v>36</v>
      </c>
      <c r="B16" s="3">
        <v>1</v>
      </c>
      <c r="C16" s="3">
        <v>1</v>
      </c>
      <c r="D16" s="3">
        <v>1</v>
      </c>
      <c r="E16" s="3">
        <v>0</v>
      </c>
      <c r="F16" s="3"/>
      <c r="G16" s="3"/>
    </row>
    <row r="17" spans="1:7" x14ac:dyDescent="0.2">
      <c r="A17" s="2" t="s">
        <v>34</v>
      </c>
      <c r="B17" s="3">
        <v>1</v>
      </c>
      <c r="C17" s="3">
        <v>0</v>
      </c>
      <c r="D17" s="3">
        <v>1</v>
      </c>
      <c r="E17" s="3">
        <v>0</v>
      </c>
      <c r="F17" s="3"/>
      <c r="G17" s="3"/>
    </row>
    <row r="18" spans="1:7" x14ac:dyDescent="0.2">
      <c r="A18" s="2" t="s">
        <v>43</v>
      </c>
      <c r="B18" s="3">
        <v>1</v>
      </c>
      <c r="C18" s="3">
        <v>8</v>
      </c>
      <c r="D18" s="3">
        <v>1</v>
      </c>
      <c r="E18" s="3">
        <v>8</v>
      </c>
      <c r="F18" s="3"/>
      <c r="G18" s="3"/>
    </row>
    <row r="19" spans="1:7" x14ac:dyDescent="0.2">
      <c r="A19" s="2" t="s">
        <v>37</v>
      </c>
      <c r="B19" s="3">
        <v>1</v>
      </c>
      <c r="C19" s="3">
        <v>0</v>
      </c>
      <c r="D19" s="3"/>
      <c r="E19" s="3"/>
      <c r="F19" s="3">
        <v>1</v>
      </c>
      <c r="G19" s="3">
        <v>0</v>
      </c>
    </row>
    <row r="20" spans="1:7" x14ac:dyDescent="0.2">
      <c r="A20" s="2" t="s">
        <v>47</v>
      </c>
      <c r="B20" s="3">
        <v>1</v>
      </c>
      <c r="C20" s="3">
        <v>32</v>
      </c>
      <c r="D20" s="3">
        <v>1</v>
      </c>
      <c r="E20" s="3">
        <v>33</v>
      </c>
      <c r="F20" s="3"/>
      <c r="G20" s="3"/>
    </row>
    <row r="21" spans="1:7" x14ac:dyDescent="0.2">
      <c r="A21" s="2" t="s">
        <v>29</v>
      </c>
      <c r="B21" s="3">
        <v>1</v>
      </c>
      <c r="C21" s="3">
        <v>41</v>
      </c>
      <c r="D21" s="3">
        <v>1</v>
      </c>
      <c r="E21" s="3">
        <v>43</v>
      </c>
      <c r="F21" s="3"/>
      <c r="G21" s="3"/>
    </row>
    <row r="22" spans="1:7" x14ac:dyDescent="0.2">
      <c r="A22" s="2" t="s">
        <v>44</v>
      </c>
      <c r="B22" s="3">
        <v>1</v>
      </c>
      <c r="C22" s="3">
        <v>6</v>
      </c>
      <c r="D22" s="3">
        <v>1</v>
      </c>
      <c r="E22" s="3">
        <v>6</v>
      </c>
      <c r="F22" s="3"/>
      <c r="G22" s="3"/>
    </row>
    <row r="23" spans="1:7" x14ac:dyDescent="0.2">
      <c r="A23" s="2" t="s">
        <v>32</v>
      </c>
      <c r="B23" s="3">
        <v>1</v>
      </c>
      <c r="C23" s="3">
        <v>24</v>
      </c>
      <c r="D23" s="3">
        <v>1</v>
      </c>
      <c r="E23" s="3">
        <v>28</v>
      </c>
      <c r="F23" s="3"/>
      <c r="G23" s="3"/>
    </row>
    <row r="24" spans="1:7" x14ac:dyDescent="0.2">
      <c r="A24" s="2" t="s">
        <v>42</v>
      </c>
      <c r="B24" s="3">
        <v>1</v>
      </c>
      <c r="C24" s="3">
        <v>4</v>
      </c>
      <c r="D24" s="3"/>
      <c r="E24" s="3"/>
      <c r="F24" s="3"/>
      <c r="G24" s="3"/>
    </row>
    <row r="25" spans="1:7" x14ac:dyDescent="0.2">
      <c r="A25" s="2" t="s">
        <v>72</v>
      </c>
      <c r="B25" s="3"/>
      <c r="C25" s="3"/>
      <c r="D25" s="3"/>
      <c r="E25" s="3"/>
      <c r="F25" s="3">
        <v>1</v>
      </c>
      <c r="G25" s="3">
        <v>19</v>
      </c>
    </row>
    <row r="26" spans="1:7" x14ac:dyDescent="0.2">
      <c r="A26" s="2" t="s">
        <v>80</v>
      </c>
      <c r="B26" s="3"/>
      <c r="C26" s="3"/>
      <c r="D26" s="3"/>
      <c r="E26" s="3"/>
      <c r="F26" s="3">
        <v>1</v>
      </c>
      <c r="G26" s="3">
        <v>0</v>
      </c>
    </row>
    <row r="27" spans="1:7" x14ac:dyDescent="0.2">
      <c r="A27" s="2" t="s">
        <v>54</v>
      </c>
      <c r="B27" s="3"/>
      <c r="C27" s="3"/>
      <c r="D27" s="3">
        <v>1</v>
      </c>
      <c r="E27" s="3">
        <v>13</v>
      </c>
      <c r="F27" s="3"/>
      <c r="G27" s="3"/>
    </row>
    <row r="28" spans="1:7" x14ac:dyDescent="0.2">
      <c r="A28" s="2" t="s">
        <v>39</v>
      </c>
      <c r="B28" s="3">
        <v>1</v>
      </c>
      <c r="C28" s="3">
        <v>6</v>
      </c>
      <c r="D28" s="3"/>
      <c r="E28" s="3"/>
      <c r="F28" s="3"/>
      <c r="G28" s="3"/>
    </row>
    <row r="29" spans="1:7" x14ac:dyDescent="0.2">
      <c r="A29" s="2" t="s">
        <v>55</v>
      </c>
      <c r="B29" s="3"/>
      <c r="C29" s="3"/>
      <c r="D29" s="3">
        <v>1</v>
      </c>
      <c r="E29" s="3">
        <v>0</v>
      </c>
      <c r="F29" s="3"/>
      <c r="G29" s="3"/>
    </row>
    <row r="30" spans="1:7" x14ac:dyDescent="0.2">
      <c r="A30" s="2" t="s">
        <v>53</v>
      </c>
      <c r="B30" s="3"/>
      <c r="C30" s="3"/>
      <c r="D30" s="3">
        <v>1</v>
      </c>
      <c r="E30" s="3">
        <v>33</v>
      </c>
      <c r="F30" s="3"/>
      <c r="G30" s="3"/>
    </row>
    <row r="31" spans="1:7" x14ac:dyDescent="0.2">
      <c r="A31" s="2" t="s">
        <v>52</v>
      </c>
      <c r="B31" s="3"/>
      <c r="C31" s="3"/>
      <c r="D31" s="3">
        <v>1</v>
      </c>
      <c r="E31" s="3">
        <v>30</v>
      </c>
      <c r="F31" s="3"/>
      <c r="G31" s="3"/>
    </row>
    <row r="32" spans="1:7" x14ac:dyDescent="0.2">
      <c r="A32" s="2" t="s">
        <v>40</v>
      </c>
      <c r="B32" s="3">
        <v>1</v>
      </c>
      <c r="C32" s="3">
        <v>23</v>
      </c>
      <c r="D32" s="3"/>
      <c r="E32" s="3"/>
      <c r="F32" s="3"/>
      <c r="G32" s="3"/>
    </row>
    <row r="33" spans="1:7" x14ac:dyDescent="0.2">
      <c r="A33" s="2" t="s">
        <v>21</v>
      </c>
      <c r="B33" s="3">
        <v>1</v>
      </c>
      <c r="C33" s="3">
        <v>0</v>
      </c>
      <c r="D33" s="3"/>
      <c r="E33" s="3"/>
      <c r="F33" s="3"/>
      <c r="G33" s="3"/>
    </row>
    <row r="34" spans="1:7" x14ac:dyDescent="0.2">
      <c r="A34" s="2" t="s">
        <v>79</v>
      </c>
      <c r="B34" s="3"/>
      <c r="C34" s="3"/>
      <c r="D34" s="3"/>
      <c r="E34" s="3"/>
      <c r="F34" s="3">
        <v>1</v>
      </c>
      <c r="G34" s="3">
        <v>8</v>
      </c>
    </row>
    <row r="35" spans="1:7" x14ac:dyDescent="0.2">
      <c r="A35" s="2" t="s">
        <v>71</v>
      </c>
      <c r="B35" s="3"/>
      <c r="C35" s="3"/>
      <c r="D35" s="3"/>
      <c r="E35" s="3"/>
      <c r="F35" s="3">
        <v>1</v>
      </c>
      <c r="G35" s="3">
        <v>0</v>
      </c>
    </row>
    <row r="36" spans="1:7" x14ac:dyDescent="0.2">
      <c r="A36" s="2" t="s">
        <v>41</v>
      </c>
      <c r="B36" s="3">
        <v>1</v>
      </c>
      <c r="C36" s="3">
        <v>0</v>
      </c>
      <c r="D36" s="3"/>
      <c r="E36" s="3"/>
      <c r="F36" s="3"/>
      <c r="G36" s="3"/>
    </row>
    <row r="37" spans="1:7" x14ac:dyDescent="0.2">
      <c r="A37" s="2" t="s">
        <v>78</v>
      </c>
      <c r="B37" s="3"/>
      <c r="C37" s="3"/>
      <c r="D37" s="3"/>
      <c r="E37" s="3"/>
      <c r="F37" s="3">
        <v>1</v>
      </c>
      <c r="G37" s="3">
        <v>7</v>
      </c>
    </row>
    <row r="38" spans="1:7" x14ac:dyDescent="0.2">
      <c r="A38" s="2" t="s">
        <v>51</v>
      </c>
      <c r="B38" s="3"/>
      <c r="C38" s="3"/>
      <c r="D38" s="3">
        <v>1</v>
      </c>
      <c r="E38" s="3">
        <v>11</v>
      </c>
      <c r="F38" s="3"/>
      <c r="G38" s="3"/>
    </row>
    <row r="39" spans="1:7" x14ac:dyDescent="0.2">
      <c r="A39" s="2" t="s">
        <v>45</v>
      </c>
      <c r="B39" s="3">
        <v>1</v>
      </c>
      <c r="C39" s="3">
        <v>0</v>
      </c>
      <c r="D39" s="3"/>
      <c r="E39" s="3"/>
      <c r="F39" s="3"/>
      <c r="G39" s="3"/>
    </row>
    <row r="40" spans="1:7" x14ac:dyDescent="0.2">
      <c r="A40" s="2" t="s">
        <v>46</v>
      </c>
      <c r="B40" s="3">
        <v>1</v>
      </c>
      <c r="C40" s="3">
        <v>8</v>
      </c>
      <c r="D40" s="3"/>
      <c r="E40" s="3"/>
      <c r="F40" s="3"/>
      <c r="G40" s="3"/>
    </row>
    <row r="41" spans="1:7" x14ac:dyDescent="0.2">
      <c r="A41" s="2" t="s">
        <v>35</v>
      </c>
      <c r="B41" s="3">
        <v>1</v>
      </c>
      <c r="C41" s="3">
        <v>0</v>
      </c>
      <c r="D41" s="3"/>
      <c r="E41" s="3"/>
      <c r="F41" s="3"/>
      <c r="G41" s="3"/>
    </row>
    <row r="42" spans="1:7" x14ac:dyDescent="0.2">
      <c r="A42" s="2" t="s">
        <v>38</v>
      </c>
      <c r="B42" s="3">
        <v>1</v>
      </c>
      <c r="C42" s="3">
        <v>2</v>
      </c>
      <c r="D42" s="3"/>
      <c r="E42" s="3"/>
      <c r="F42" s="3"/>
      <c r="G42" s="3"/>
    </row>
    <row r="43" spans="1:7" x14ac:dyDescent="0.2">
      <c r="A43" s="2" t="s">
        <v>20</v>
      </c>
      <c r="B43" s="3">
        <v>1</v>
      </c>
      <c r="C43" s="3">
        <v>1</v>
      </c>
      <c r="D43" s="3"/>
      <c r="E43" s="3"/>
      <c r="F43" s="3"/>
      <c r="G43" s="3"/>
    </row>
    <row r="44" spans="1:7" x14ac:dyDescent="0.2">
      <c r="A44" s="2" t="s">
        <v>56</v>
      </c>
      <c r="B44" s="3"/>
      <c r="C44" s="3"/>
      <c r="D44" s="3">
        <v>1</v>
      </c>
      <c r="E44" s="3">
        <v>18</v>
      </c>
      <c r="F44" s="3"/>
      <c r="G44" s="3"/>
    </row>
    <row r="45" spans="1:7" x14ac:dyDescent="0.2">
      <c r="A45" s="2" t="s">
        <v>50</v>
      </c>
      <c r="B45" s="3"/>
      <c r="C45" s="3"/>
      <c r="D45" s="3">
        <v>1</v>
      </c>
      <c r="E45" s="3">
        <v>14</v>
      </c>
      <c r="F45" s="3"/>
      <c r="G45" s="3"/>
    </row>
  </sheetData>
  <conditionalFormatting sqref="A4:A5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A5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{9528C16B-2B9E-4D61-B638-7A6110C4CFFE}</x14:id>
        </ext>
      </extLst>
    </cfRule>
  </conditionalFormatting>
  <conditionalFormatting sqref="A4:A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{7DF058D2-38C7-4D7E-9746-9413434C1649}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28C16B-2B9E-4D61-B638-7A6110C4CFF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A4:A54</xm:sqref>
        </x14:conditionalFormatting>
        <x14:conditionalFormatting xmlns:xm="http://schemas.microsoft.com/office/excel/2006/main">
          <x14:cfRule type="dataBar" id="{7DF058D2-38C7-4D7E-9746-9413434C1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A4:A46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7606-8255-421C-8944-6610B5E0A030}">
  <dimension ref="A1:E98"/>
  <sheetViews>
    <sheetView zoomScale="70" zoomScaleNormal="70" workbookViewId="0">
      <selection activeCell="D72" sqref="D72"/>
    </sheetView>
  </sheetViews>
  <sheetFormatPr defaultRowHeight="14.25" x14ac:dyDescent="0.2"/>
  <cols>
    <col min="1" max="1" width="87.875" bestFit="1" customWidth="1"/>
    <col min="2" max="2" width="21.375" customWidth="1"/>
    <col min="3" max="3" width="20.875" customWidth="1"/>
    <col min="4" max="4" width="23.75" style="7" customWidth="1"/>
  </cols>
  <sheetData>
    <row r="1" spans="1:5" x14ac:dyDescent="0.2">
      <c r="A1" t="s">
        <v>117</v>
      </c>
      <c r="B1" t="s">
        <v>1</v>
      </c>
      <c r="C1" t="s">
        <v>11</v>
      </c>
      <c r="D1" s="7" t="s">
        <v>15</v>
      </c>
    </row>
    <row r="2" spans="1:5" x14ac:dyDescent="0.2">
      <c r="A2" t="s">
        <v>30</v>
      </c>
      <c r="B2" s="6">
        <v>31</v>
      </c>
      <c r="C2" s="6">
        <v>0</v>
      </c>
      <c r="D2" s="6">
        <v>31</v>
      </c>
      <c r="E2" s="7">
        <f t="shared" ref="E2:E9" si="0">D2/B2</f>
        <v>1</v>
      </c>
    </row>
    <row r="3" spans="1:5" x14ac:dyDescent="0.2">
      <c r="A3" t="s">
        <v>33</v>
      </c>
      <c r="B3" s="6">
        <v>17</v>
      </c>
      <c r="C3" s="6">
        <v>0</v>
      </c>
      <c r="D3" s="6">
        <v>17</v>
      </c>
      <c r="E3" s="7">
        <f t="shared" si="0"/>
        <v>1</v>
      </c>
    </row>
    <row r="4" spans="1:5" x14ac:dyDescent="0.2">
      <c r="A4" t="s">
        <v>31</v>
      </c>
      <c r="B4" s="6">
        <v>12.25</v>
      </c>
      <c r="C4" s="6">
        <v>0</v>
      </c>
      <c r="D4" s="6">
        <v>12.25</v>
      </c>
      <c r="E4" s="7">
        <f t="shared" si="0"/>
        <v>1</v>
      </c>
    </row>
    <row r="5" spans="1:5" x14ac:dyDescent="0.2">
      <c r="A5" t="s">
        <v>26</v>
      </c>
      <c r="B5" s="6">
        <v>134.75</v>
      </c>
      <c r="C5" s="6">
        <v>3.75</v>
      </c>
      <c r="D5" s="6">
        <v>131</v>
      </c>
      <c r="E5" s="7">
        <f t="shared" si="0"/>
        <v>0.9721706864564007</v>
      </c>
    </row>
    <row r="6" spans="1:5" x14ac:dyDescent="0.2">
      <c r="A6" t="s">
        <v>23</v>
      </c>
      <c r="B6" s="6">
        <v>29</v>
      </c>
      <c r="C6" s="6">
        <v>1</v>
      </c>
      <c r="D6" s="6">
        <v>28</v>
      </c>
      <c r="E6" s="7">
        <f t="shared" si="0"/>
        <v>0.96551724137931039</v>
      </c>
    </row>
    <row r="7" spans="1:5" x14ac:dyDescent="0.2">
      <c r="A7" t="s">
        <v>25</v>
      </c>
      <c r="B7" s="6">
        <v>131</v>
      </c>
      <c r="C7" s="6">
        <v>5</v>
      </c>
      <c r="D7" s="6">
        <v>126</v>
      </c>
      <c r="E7" s="7">
        <f t="shared" si="0"/>
        <v>0.96183206106870234</v>
      </c>
    </row>
    <row r="8" spans="1:5" x14ac:dyDescent="0.2">
      <c r="A8" t="s">
        <v>27</v>
      </c>
      <c r="B8" s="6">
        <v>180.25</v>
      </c>
      <c r="C8" s="6">
        <v>11</v>
      </c>
      <c r="D8" s="6">
        <v>169.25</v>
      </c>
      <c r="E8" s="7">
        <f t="shared" si="0"/>
        <v>0.93897364771151182</v>
      </c>
    </row>
    <row r="9" spans="1:5" x14ac:dyDescent="0.2">
      <c r="A9" t="s">
        <v>28</v>
      </c>
      <c r="B9" s="6">
        <v>169.75</v>
      </c>
      <c r="C9" s="6">
        <v>32.75</v>
      </c>
      <c r="D9" s="6">
        <v>137</v>
      </c>
      <c r="E9" s="7">
        <f t="shared" si="0"/>
        <v>0.80706921944035348</v>
      </c>
    </row>
    <row r="29" spans="1:4" ht="15" x14ac:dyDescent="0.25">
      <c r="A29" s="9" t="s">
        <v>77</v>
      </c>
      <c r="B29" s="9" t="s">
        <v>11</v>
      </c>
      <c r="C29" s="9" t="s">
        <v>15</v>
      </c>
      <c r="D29" s="9" t="s">
        <v>133</v>
      </c>
    </row>
    <row r="30" spans="1:4" x14ac:dyDescent="0.2">
      <c r="A30" s="2" t="s">
        <v>71</v>
      </c>
      <c r="B30" s="3">
        <v>0</v>
      </c>
      <c r="C30" s="3">
        <v>8</v>
      </c>
      <c r="D30" s="8">
        <f t="shared" ref="D30:D52" si="1">B30/SUM(B30:C30)</f>
        <v>0</v>
      </c>
    </row>
    <row r="31" spans="1:4" x14ac:dyDescent="0.2">
      <c r="A31" s="2" t="s">
        <v>67</v>
      </c>
      <c r="B31" s="3">
        <v>0</v>
      </c>
      <c r="C31" s="3">
        <v>8</v>
      </c>
      <c r="D31" s="8">
        <f t="shared" si="1"/>
        <v>0</v>
      </c>
    </row>
    <row r="32" spans="1:4" x14ac:dyDescent="0.2">
      <c r="A32" s="2" t="s">
        <v>76</v>
      </c>
      <c r="B32" s="3">
        <v>0</v>
      </c>
      <c r="C32" s="3">
        <v>8</v>
      </c>
      <c r="D32" s="8">
        <f t="shared" si="1"/>
        <v>0</v>
      </c>
    </row>
    <row r="33" spans="1:4" x14ac:dyDescent="0.2">
      <c r="A33" s="2" t="s">
        <v>119</v>
      </c>
      <c r="B33" s="3">
        <v>0</v>
      </c>
      <c r="C33" s="3">
        <v>7</v>
      </c>
      <c r="D33" s="8">
        <f t="shared" si="1"/>
        <v>0</v>
      </c>
    </row>
    <row r="34" spans="1:4" x14ac:dyDescent="0.2">
      <c r="A34" s="2" t="s">
        <v>120</v>
      </c>
      <c r="B34" s="3">
        <v>0</v>
      </c>
      <c r="C34" s="3">
        <v>5</v>
      </c>
      <c r="D34" s="8">
        <f t="shared" si="1"/>
        <v>0</v>
      </c>
    </row>
    <row r="35" spans="1:4" x14ac:dyDescent="0.2">
      <c r="A35" s="2" t="s">
        <v>74</v>
      </c>
      <c r="B35" s="3">
        <v>0</v>
      </c>
      <c r="C35" s="3">
        <v>5</v>
      </c>
      <c r="D35" s="8">
        <f t="shared" si="1"/>
        <v>0</v>
      </c>
    </row>
    <row r="36" spans="1:4" x14ac:dyDescent="0.2">
      <c r="A36" s="2" t="s">
        <v>121</v>
      </c>
      <c r="B36" s="3">
        <v>0</v>
      </c>
      <c r="C36" s="3">
        <v>5</v>
      </c>
      <c r="D36" s="8">
        <f t="shared" si="1"/>
        <v>0</v>
      </c>
    </row>
    <row r="37" spans="1:4" x14ac:dyDescent="0.2">
      <c r="A37" s="2" t="s">
        <v>122</v>
      </c>
      <c r="B37" s="3">
        <v>0</v>
      </c>
      <c r="C37" s="3">
        <v>5</v>
      </c>
      <c r="D37" s="8">
        <f t="shared" si="1"/>
        <v>0</v>
      </c>
    </row>
    <row r="38" spans="1:4" x14ac:dyDescent="0.2">
      <c r="A38" s="2" t="s">
        <v>59</v>
      </c>
      <c r="B38" s="3">
        <v>1</v>
      </c>
      <c r="C38" s="3">
        <v>29</v>
      </c>
      <c r="D38" s="8">
        <f t="shared" si="1"/>
        <v>3.3333333333333333E-2</v>
      </c>
    </row>
    <row r="39" spans="1:4" x14ac:dyDescent="0.2">
      <c r="A39" s="2" t="s">
        <v>123</v>
      </c>
      <c r="B39" s="3">
        <v>1</v>
      </c>
      <c r="C39" s="3">
        <v>11</v>
      </c>
      <c r="D39" s="8">
        <f t="shared" si="1"/>
        <v>8.3333333333333329E-2</v>
      </c>
    </row>
    <row r="40" spans="1:4" x14ac:dyDescent="0.2">
      <c r="A40" s="2" t="s">
        <v>65</v>
      </c>
      <c r="B40" s="3">
        <v>2</v>
      </c>
      <c r="C40" s="3">
        <v>16</v>
      </c>
      <c r="D40" s="8">
        <f t="shared" si="1"/>
        <v>0.1111111111111111</v>
      </c>
    </row>
    <row r="41" spans="1:4" x14ac:dyDescent="0.2">
      <c r="A41" s="2" t="s">
        <v>60</v>
      </c>
      <c r="B41" s="3">
        <v>3</v>
      </c>
      <c r="C41" s="3">
        <v>23</v>
      </c>
      <c r="D41" s="8">
        <f t="shared" si="1"/>
        <v>0.11538461538461539</v>
      </c>
    </row>
    <row r="42" spans="1:4" x14ac:dyDescent="0.2">
      <c r="A42" s="2" t="s">
        <v>124</v>
      </c>
      <c r="B42" s="3">
        <v>3</v>
      </c>
      <c r="C42" s="3">
        <v>23</v>
      </c>
      <c r="D42" s="8">
        <f t="shared" si="1"/>
        <v>0.11538461538461539</v>
      </c>
    </row>
    <row r="43" spans="1:4" x14ac:dyDescent="0.2">
      <c r="A43" s="2" t="s">
        <v>61</v>
      </c>
      <c r="B43" s="3">
        <v>5</v>
      </c>
      <c r="C43" s="3">
        <v>32</v>
      </c>
      <c r="D43" s="8">
        <f t="shared" si="1"/>
        <v>0.13513513513513514</v>
      </c>
    </row>
    <row r="44" spans="1:4" x14ac:dyDescent="0.2">
      <c r="A44" s="2" t="s">
        <v>125</v>
      </c>
      <c r="B44" s="3">
        <v>32</v>
      </c>
      <c r="C44" s="3">
        <v>182</v>
      </c>
      <c r="D44" s="8">
        <f t="shared" si="1"/>
        <v>0.14953271028037382</v>
      </c>
    </row>
    <row r="45" spans="1:4" x14ac:dyDescent="0.2">
      <c r="A45" s="2" t="s">
        <v>126</v>
      </c>
      <c r="B45" s="3">
        <v>3</v>
      </c>
      <c r="C45" s="3">
        <v>16</v>
      </c>
      <c r="D45" s="8">
        <f t="shared" si="1"/>
        <v>0.15789473684210525</v>
      </c>
    </row>
    <row r="46" spans="1:4" x14ac:dyDescent="0.2">
      <c r="A46" s="2" t="s">
        <v>127</v>
      </c>
      <c r="B46" s="3">
        <v>2</v>
      </c>
      <c r="C46" s="3">
        <v>10</v>
      </c>
      <c r="D46" s="8">
        <f t="shared" si="1"/>
        <v>0.16666666666666666</v>
      </c>
    </row>
    <row r="47" spans="1:4" x14ac:dyDescent="0.2">
      <c r="A47" s="2" t="s">
        <v>128</v>
      </c>
      <c r="B47" s="3">
        <v>1</v>
      </c>
      <c r="C47" s="3">
        <v>5</v>
      </c>
      <c r="D47" s="8">
        <f t="shared" si="1"/>
        <v>0.16666666666666666</v>
      </c>
    </row>
    <row r="48" spans="1:4" x14ac:dyDescent="0.2">
      <c r="A48" s="2" t="s">
        <v>129</v>
      </c>
      <c r="B48" s="3">
        <v>33</v>
      </c>
      <c r="C48" s="3">
        <v>152</v>
      </c>
      <c r="D48" s="8">
        <f t="shared" si="1"/>
        <v>0.17837837837837839</v>
      </c>
    </row>
    <row r="49" spans="1:4" x14ac:dyDescent="0.2">
      <c r="A49" s="2" t="s">
        <v>72</v>
      </c>
      <c r="B49" s="3">
        <v>22</v>
      </c>
      <c r="C49" s="3">
        <v>16</v>
      </c>
      <c r="D49" s="8">
        <f t="shared" si="1"/>
        <v>0.57894736842105265</v>
      </c>
    </row>
    <row r="50" spans="1:4" x14ac:dyDescent="0.2">
      <c r="A50" s="2" t="s">
        <v>130</v>
      </c>
      <c r="B50" s="3">
        <v>134</v>
      </c>
      <c r="C50" s="3">
        <v>11</v>
      </c>
      <c r="D50" s="8">
        <f t="shared" si="1"/>
        <v>0.92413793103448272</v>
      </c>
    </row>
    <row r="51" spans="1:4" x14ac:dyDescent="0.2">
      <c r="A51" s="2" t="s">
        <v>26</v>
      </c>
      <c r="B51" s="3">
        <v>139</v>
      </c>
      <c r="C51" s="3">
        <v>9</v>
      </c>
      <c r="D51" s="8">
        <f t="shared" si="1"/>
        <v>0.93918918918918914</v>
      </c>
    </row>
    <row r="52" spans="1:4" x14ac:dyDescent="0.2">
      <c r="A52" s="2" t="s">
        <v>30</v>
      </c>
      <c r="B52" s="3">
        <v>35</v>
      </c>
      <c r="C52" s="3">
        <v>0</v>
      </c>
      <c r="D52" s="8">
        <f t="shared" si="1"/>
        <v>1</v>
      </c>
    </row>
    <row r="54" spans="1:4" ht="15" x14ac:dyDescent="0.25">
      <c r="A54" s="9" t="s">
        <v>87</v>
      </c>
      <c r="B54" s="9" t="s">
        <v>11</v>
      </c>
      <c r="C54" s="9" t="s">
        <v>15</v>
      </c>
      <c r="D54" s="9" t="s">
        <v>133</v>
      </c>
    </row>
    <row r="55" spans="1:4" x14ac:dyDescent="0.2">
      <c r="A55" s="2" t="s">
        <v>120</v>
      </c>
      <c r="B55" s="3">
        <v>0</v>
      </c>
      <c r="C55" s="3">
        <v>5</v>
      </c>
      <c r="D55" s="8">
        <f t="shared" ref="D55:D69" si="2">B55/SUM(B55:C55)</f>
        <v>0</v>
      </c>
    </row>
    <row r="56" spans="1:4" x14ac:dyDescent="0.2">
      <c r="A56" s="2" t="s">
        <v>84</v>
      </c>
      <c r="B56" s="3">
        <v>0</v>
      </c>
      <c r="C56" s="3">
        <v>5</v>
      </c>
      <c r="D56" s="8">
        <f t="shared" si="2"/>
        <v>0</v>
      </c>
    </row>
    <row r="57" spans="1:4" x14ac:dyDescent="0.2">
      <c r="A57" s="2" t="s">
        <v>121</v>
      </c>
      <c r="B57" s="3">
        <v>0</v>
      </c>
      <c r="C57" s="3">
        <v>5</v>
      </c>
      <c r="D57" s="8">
        <f t="shared" si="2"/>
        <v>0</v>
      </c>
    </row>
    <row r="58" spans="1:4" x14ac:dyDescent="0.2">
      <c r="A58" s="2" t="s">
        <v>122</v>
      </c>
      <c r="B58" s="3">
        <v>0</v>
      </c>
      <c r="C58" s="3">
        <v>5</v>
      </c>
      <c r="D58" s="8">
        <f t="shared" si="2"/>
        <v>0</v>
      </c>
    </row>
    <row r="59" spans="1:4" x14ac:dyDescent="0.2">
      <c r="A59" s="2" t="s">
        <v>124</v>
      </c>
      <c r="B59" s="3">
        <v>1</v>
      </c>
      <c r="C59" s="3">
        <v>25</v>
      </c>
      <c r="D59" s="8">
        <f t="shared" si="2"/>
        <v>3.8461538461538464E-2</v>
      </c>
    </row>
    <row r="60" spans="1:4" x14ac:dyDescent="0.2">
      <c r="A60" s="2" t="s">
        <v>126</v>
      </c>
      <c r="B60" s="3">
        <v>1</v>
      </c>
      <c r="C60" s="3">
        <v>18</v>
      </c>
      <c r="D60" s="8">
        <f t="shared" si="2"/>
        <v>5.2631578947368418E-2</v>
      </c>
    </row>
    <row r="61" spans="1:4" x14ac:dyDescent="0.2">
      <c r="A61" s="2" t="s">
        <v>123</v>
      </c>
      <c r="B61" s="3">
        <v>1</v>
      </c>
      <c r="C61" s="3">
        <v>11</v>
      </c>
      <c r="D61" s="8">
        <f t="shared" si="2"/>
        <v>8.3333333333333329E-2</v>
      </c>
    </row>
    <row r="62" spans="1:4" x14ac:dyDescent="0.2">
      <c r="A62" s="2" t="s">
        <v>86</v>
      </c>
      <c r="B62" s="3">
        <v>6</v>
      </c>
      <c r="C62" s="3">
        <v>31</v>
      </c>
      <c r="D62" s="8">
        <f t="shared" si="2"/>
        <v>0.16216216216216217</v>
      </c>
    </row>
    <row r="63" spans="1:4" x14ac:dyDescent="0.2">
      <c r="A63" s="2" t="s">
        <v>128</v>
      </c>
      <c r="B63" s="3">
        <v>1</v>
      </c>
      <c r="C63" s="3">
        <v>5</v>
      </c>
      <c r="D63" s="8">
        <f t="shared" si="2"/>
        <v>0.16666666666666666</v>
      </c>
    </row>
    <row r="64" spans="1:4" x14ac:dyDescent="0.2">
      <c r="A64" s="2" t="s">
        <v>125</v>
      </c>
      <c r="B64" s="3">
        <v>44</v>
      </c>
      <c r="C64" s="3">
        <v>166</v>
      </c>
      <c r="D64" s="8">
        <f t="shared" si="2"/>
        <v>0.20952380952380953</v>
      </c>
    </row>
    <row r="65" spans="1:4" x14ac:dyDescent="0.2">
      <c r="A65" s="2" t="s">
        <v>127</v>
      </c>
      <c r="B65" s="3">
        <v>3</v>
      </c>
      <c r="C65" s="3">
        <v>9</v>
      </c>
      <c r="D65" s="8">
        <f t="shared" si="2"/>
        <v>0.25</v>
      </c>
    </row>
    <row r="66" spans="1:4" x14ac:dyDescent="0.2">
      <c r="A66" s="2" t="s">
        <v>129</v>
      </c>
      <c r="B66" s="3">
        <v>50</v>
      </c>
      <c r="C66" s="3">
        <v>132</v>
      </c>
      <c r="D66" s="8">
        <f t="shared" si="2"/>
        <v>0.27472527472527475</v>
      </c>
    </row>
    <row r="67" spans="1:4" x14ac:dyDescent="0.2">
      <c r="A67" s="2" t="s">
        <v>85</v>
      </c>
      <c r="B67" s="3">
        <v>21</v>
      </c>
      <c r="C67" s="3">
        <v>24</v>
      </c>
      <c r="D67" s="8">
        <f t="shared" si="2"/>
        <v>0.46666666666666667</v>
      </c>
    </row>
    <row r="68" spans="1:4" x14ac:dyDescent="0.2">
      <c r="A68" s="2" t="s">
        <v>131</v>
      </c>
      <c r="B68" s="3">
        <v>121</v>
      </c>
      <c r="C68" s="3">
        <v>93</v>
      </c>
      <c r="D68" s="8">
        <f t="shared" si="2"/>
        <v>0.56542056074766356</v>
      </c>
    </row>
    <row r="69" spans="1:4" x14ac:dyDescent="0.2">
      <c r="A69" s="2" t="s">
        <v>132</v>
      </c>
      <c r="B69" s="3">
        <v>16</v>
      </c>
      <c r="C69" s="3">
        <v>10</v>
      </c>
      <c r="D69" s="8">
        <f t="shared" si="2"/>
        <v>0.61538461538461542</v>
      </c>
    </row>
    <row r="70" spans="1:4" ht="15" x14ac:dyDescent="0.25">
      <c r="A70" s="9"/>
      <c r="B70" s="9"/>
      <c r="C70" s="9"/>
    </row>
    <row r="71" spans="1:4" ht="15" x14ac:dyDescent="0.25">
      <c r="A71" s="9" t="s">
        <v>112</v>
      </c>
      <c r="B71" s="9" t="s">
        <v>11</v>
      </c>
      <c r="C71" s="9" t="s">
        <v>15</v>
      </c>
      <c r="D71" s="9" t="s">
        <v>133</v>
      </c>
    </row>
    <row r="72" spans="1:4" x14ac:dyDescent="0.2">
      <c r="A72" s="2" t="s">
        <v>23</v>
      </c>
      <c r="B72" s="3">
        <v>0</v>
      </c>
      <c r="C72" s="3">
        <v>29</v>
      </c>
      <c r="D72" s="8">
        <f t="shared" ref="D72:D98" si="3">B72/SUM(B72:C72)</f>
        <v>0</v>
      </c>
    </row>
    <row r="73" spans="1:4" x14ac:dyDescent="0.2">
      <c r="A73" s="2" t="s">
        <v>31</v>
      </c>
      <c r="B73" s="3">
        <v>0</v>
      </c>
      <c r="C73" s="3">
        <v>13</v>
      </c>
      <c r="D73" s="8">
        <f t="shared" si="3"/>
        <v>0</v>
      </c>
    </row>
    <row r="74" spans="1:4" x14ac:dyDescent="0.2">
      <c r="A74" s="2" t="s">
        <v>106</v>
      </c>
      <c r="B74" s="3">
        <v>0</v>
      </c>
      <c r="C74" s="3">
        <v>7</v>
      </c>
      <c r="D74" s="8">
        <f t="shared" si="3"/>
        <v>0</v>
      </c>
    </row>
    <row r="75" spans="1:4" x14ac:dyDescent="0.2">
      <c r="A75" s="2" t="s">
        <v>120</v>
      </c>
      <c r="B75" s="3">
        <v>0</v>
      </c>
      <c r="C75" s="3">
        <v>5</v>
      </c>
      <c r="D75" s="8">
        <f t="shared" si="3"/>
        <v>0</v>
      </c>
    </row>
    <row r="76" spans="1:4" x14ac:dyDescent="0.2">
      <c r="A76" s="2" t="s">
        <v>111</v>
      </c>
      <c r="B76" s="3">
        <v>0</v>
      </c>
      <c r="C76" s="3">
        <v>5</v>
      </c>
      <c r="D76" s="8">
        <f t="shared" si="3"/>
        <v>0</v>
      </c>
    </row>
    <row r="77" spans="1:4" x14ac:dyDescent="0.2">
      <c r="A77" s="2" t="s">
        <v>121</v>
      </c>
      <c r="B77" s="3">
        <v>0</v>
      </c>
      <c r="C77" s="3">
        <v>5</v>
      </c>
      <c r="D77" s="8">
        <f t="shared" si="3"/>
        <v>0</v>
      </c>
    </row>
    <row r="78" spans="1:4" x14ac:dyDescent="0.2">
      <c r="A78" s="2" t="s">
        <v>122</v>
      </c>
      <c r="B78" s="3">
        <v>0</v>
      </c>
      <c r="C78" s="3">
        <v>5</v>
      </c>
      <c r="D78" s="8">
        <f t="shared" si="3"/>
        <v>0</v>
      </c>
    </row>
    <row r="79" spans="1:4" x14ac:dyDescent="0.2">
      <c r="A79" s="2" t="s">
        <v>29</v>
      </c>
      <c r="B79" s="3">
        <v>2</v>
      </c>
      <c r="C79" s="3">
        <v>44</v>
      </c>
      <c r="D79" s="8">
        <f t="shared" si="3"/>
        <v>4.3478260869565216E-2</v>
      </c>
    </row>
    <row r="80" spans="1:4" x14ac:dyDescent="0.2">
      <c r="A80" s="2" t="s">
        <v>123</v>
      </c>
      <c r="B80" s="3">
        <v>1</v>
      </c>
      <c r="C80" s="3">
        <v>11</v>
      </c>
      <c r="D80" s="8">
        <f t="shared" si="3"/>
        <v>8.3333333333333329E-2</v>
      </c>
    </row>
    <row r="81" spans="1:4" x14ac:dyDescent="0.2">
      <c r="A81" s="2" t="s">
        <v>110</v>
      </c>
      <c r="B81" s="3">
        <v>2</v>
      </c>
      <c r="C81" s="3">
        <v>21</v>
      </c>
      <c r="D81" s="8">
        <f t="shared" si="3"/>
        <v>8.6956521739130432E-2</v>
      </c>
    </row>
    <row r="82" spans="1:4" x14ac:dyDescent="0.2">
      <c r="A82" s="2" t="s">
        <v>103</v>
      </c>
      <c r="B82" s="3">
        <v>1</v>
      </c>
      <c r="C82" s="3">
        <v>9</v>
      </c>
      <c r="D82" s="8">
        <f t="shared" si="3"/>
        <v>0.1</v>
      </c>
    </row>
    <row r="83" spans="1:4" x14ac:dyDescent="0.2">
      <c r="A83" s="2" t="s">
        <v>126</v>
      </c>
      <c r="B83" s="3">
        <v>2</v>
      </c>
      <c r="C83" s="3">
        <v>17</v>
      </c>
      <c r="D83" s="8">
        <f t="shared" si="3"/>
        <v>0.10526315789473684</v>
      </c>
    </row>
    <row r="84" spans="1:4" x14ac:dyDescent="0.2">
      <c r="A84" s="2" t="s">
        <v>124</v>
      </c>
      <c r="B84" s="3">
        <v>3</v>
      </c>
      <c r="C84" s="3">
        <v>23</v>
      </c>
      <c r="D84" s="8">
        <f t="shared" si="3"/>
        <v>0.11538461538461539</v>
      </c>
    </row>
    <row r="85" spans="1:4" x14ac:dyDescent="0.2">
      <c r="A85" s="2" t="s">
        <v>130</v>
      </c>
      <c r="B85" s="3">
        <v>20</v>
      </c>
      <c r="C85" s="3">
        <v>125</v>
      </c>
      <c r="D85" s="8">
        <f t="shared" si="3"/>
        <v>0.13793103448275862</v>
      </c>
    </row>
    <row r="86" spans="1:4" x14ac:dyDescent="0.2">
      <c r="A86" s="2" t="s">
        <v>128</v>
      </c>
      <c r="B86" s="3">
        <v>1</v>
      </c>
      <c r="C86" s="3">
        <v>5</v>
      </c>
      <c r="D86" s="8">
        <f t="shared" si="3"/>
        <v>0.16666666666666666</v>
      </c>
    </row>
    <row r="87" spans="1:4" x14ac:dyDescent="0.2">
      <c r="A87" s="2" t="s">
        <v>105</v>
      </c>
      <c r="B87" s="3">
        <v>2</v>
      </c>
      <c r="C87" s="3">
        <v>8</v>
      </c>
      <c r="D87" s="8">
        <f t="shared" si="3"/>
        <v>0.2</v>
      </c>
    </row>
    <row r="88" spans="1:4" x14ac:dyDescent="0.2">
      <c r="A88" s="2" t="s">
        <v>125</v>
      </c>
      <c r="B88" s="3">
        <v>61</v>
      </c>
      <c r="C88" s="3">
        <v>147</v>
      </c>
      <c r="D88" s="8">
        <f t="shared" si="3"/>
        <v>0.29326923076923078</v>
      </c>
    </row>
    <row r="89" spans="1:4" x14ac:dyDescent="0.2">
      <c r="A89" s="2" t="s">
        <v>104</v>
      </c>
      <c r="B89" s="3">
        <v>4</v>
      </c>
      <c r="C89" s="3">
        <v>3</v>
      </c>
      <c r="D89" s="8">
        <f t="shared" si="3"/>
        <v>0.5714285714285714</v>
      </c>
    </row>
    <row r="90" spans="1:4" x14ac:dyDescent="0.2">
      <c r="A90" s="2" t="s">
        <v>131</v>
      </c>
      <c r="B90" s="3">
        <v>127</v>
      </c>
      <c r="C90" s="3">
        <v>91</v>
      </c>
      <c r="D90" s="8">
        <f t="shared" si="3"/>
        <v>0.58256880733944949</v>
      </c>
    </row>
    <row r="91" spans="1:4" x14ac:dyDescent="0.2">
      <c r="A91" s="2" t="s">
        <v>119</v>
      </c>
      <c r="B91" s="3">
        <v>5</v>
      </c>
      <c r="C91" s="3">
        <v>2</v>
      </c>
      <c r="D91" s="8">
        <f t="shared" si="3"/>
        <v>0.7142857142857143</v>
      </c>
    </row>
    <row r="92" spans="1:4" x14ac:dyDescent="0.2">
      <c r="A92" s="2" t="s">
        <v>43</v>
      </c>
      <c r="B92" s="3">
        <v>8</v>
      </c>
      <c r="C92" s="3">
        <v>3</v>
      </c>
      <c r="D92" s="8">
        <f t="shared" si="3"/>
        <v>0.72727272727272729</v>
      </c>
    </row>
    <row r="93" spans="1:4" x14ac:dyDescent="0.2">
      <c r="A93" s="2" t="s">
        <v>132</v>
      </c>
      <c r="B93" s="3">
        <v>22</v>
      </c>
      <c r="C93" s="3">
        <v>8</v>
      </c>
      <c r="D93" s="8">
        <f t="shared" si="3"/>
        <v>0.73333333333333328</v>
      </c>
    </row>
    <row r="94" spans="1:4" x14ac:dyDescent="0.2">
      <c r="A94" s="2" t="s">
        <v>50</v>
      </c>
      <c r="B94" s="3">
        <v>14</v>
      </c>
      <c r="C94" s="3">
        <v>4</v>
      </c>
      <c r="D94" s="8">
        <f t="shared" si="3"/>
        <v>0.77777777777777779</v>
      </c>
    </row>
    <row r="95" spans="1:4" x14ac:dyDescent="0.2">
      <c r="A95" s="2" t="s">
        <v>107</v>
      </c>
      <c r="B95" s="3">
        <v>5</v>
      </c>
      <c r="C95" s="3">
        <v>1</v>
      </c>
      <c r="D95" s="8">
        <f t="shared" si="3"/>
        <v>0.83333333333333337</v>
      </c>
    </row>
    <row r="96" spans="1:4" x14ac:dyDescent="0.2">
      <c r="A96" s="2" t="s">
        <v>109</v>
      </c>
      <c r="B96" s="3">
        <v>5</v>
      </c>
      <c r="C96" s="3">
        <v>1</v>
      </c>
      <c r="D96" s="8">
        <f t="shared" si="3"/>
        <v>0.83333333333333337</v>
      </c>
    </row>
    <row r="97" spans="1:4" x14ac:dyDescent="0.2">
      <c r="A97" s="2" t="s">
        <v>108</v>
      </c>
      <c r="B97" s="3">
        <v>5</v>
      </c>
      <c r="C97" s="3">
        <v>1</v>
      </c>
      <c r="D97" s="8">
        <f t="shared" si="3"/>
        <v>0.83333333333333337</v>
      </c>
    </row>
    <row r="98" spans="1:4" x14ac:dyDescent="0.2">
      <c r="A98" s="2" t="s">
        <v>24</v>
      </c>
      <c r="B98" s="3">
        <v>11</v>
      </c>
      <c r="C98" s="3">
        <v>2</v>
      </c>
      <c r="D98" s="8">
        <f t="shared" si="3"/>
        <v>0.84615384615384615</v>
      </c>
    </row>
  </sheetData>
  <sortState xmlns:xlrd2="http://schemas.microsoft.com/office/spreadsheetml/2017/richdata2" ref="A72:D98">
    <sortCondition ref="D72:D98"/>
  </sortState>
  <conditionalFormatting sqref="A30:A5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:A52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{7284F498-B1BF-4C9F-95AF-D07297BE6956}</x14:id>
        </ext>
      </extLst>
    </cfRule>
  </conditionalFormatting>
  <conditionalFormatting sqref="A30:A5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{0C4BD768-9338-4622-A1D7-11F276F771E9}</x14:id>
        </ext>
      </extLst>
    </cfRule>
  </conditionalFormatting>
  <conditionalFormatting sqref="A55:A6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5:A69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{8D9D0BD4-F303-43DA-B656-66348860855A}</x14:id>
        </ext>
      </extLst>
    </cfRule>
  </conditionalFormatting>
  <conditionalFormatting sqref="A55:A6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{1CD18227-DB95-4B40-8924-D5AAC529B4A5}</x14:id>
        </ext>
      </extLst>
    </cfRule>
  </conditionalFormatting>
  <conditionalFormatting sqref="A72:A9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2:A98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{940AB65D-6C63-4040-BEBC-8E3BA04E840B}</x14:id>
        </ext>
      </extLst>
    </cfRule>
  </conditionalFormatting>
  <conditionalFormatting sqref="A72:A9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{392BD424-E85F-4E84-8C72-AE2A081F2584}</x14:id>
        </ext>
      </extLst>
    </cfRule>
  </conditionalFormatting>
  <conditionalFormatting sqref="D30:D5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{1E593B33-CBE0-455B-A925-7D170C76FAFA}</x14:id>
        </ext>
      </extLst>
    </cfRule>
  </conditionalFormatting>
  <conditionalFormatting sqref="D55:D6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{7A71151D-D26E-46CB-B202-49665D458924}</x14:id>
        </ext>
      </extLst>
    </cfRule>
  </conditionalFormatting>
  <conditionalFormatting sqref="D72:D9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{C8F67A34-B97A-42DF-91AF-D75430F04415}</x14:id>
        </ext>
      </extLst>
    </cfRule>
  </conditionalFormatting>
  <conditionalFormatting sqref="D30:D98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{6E9A08A9-7A1D-4C1A-AA9C-03DA55807C57}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84F498-B1BF-4C9F-95AF-D07297BE695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A30:A52</xm:sqref>
        </x14:conditionalFormatting>
        <x14:conditionalFormatting xmlns:xm="http://schemas.microsoft.com/office/excel/2006/main">
          <x14:cfRule type="dataBar" id="{0C4BD768-9338-4622-A1D7-11F276F771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A30:A52</xm:sqref>
        </x14:conditionalFormatting>
        <x14:conditionalFormatting xmlns:xm="http://schemas.microsoft.com/office/excel/2006/main">
          <x14:cfRule type="dataBar" id="{8D9D0BD4-F303-43DA-B656-6634886085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A55:A69</xm:sqref>
        </x14:conditionalFormatting>
        <x14:conditionalFormatting xmlns:xm="http://schemas.microsoft.com/office/excel/2006/main">
          <x14:cfRule type="dataBar" id="{1CD18227-DB95-4B40-8924-D5AAC529B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A55:A69</xm:sqref>
        </x14:conditionalFormatting>
        <x14:conditionalFormatting xmlns:xm="http://schemas.microsoft.com/office/excel/2006/main">
          <x14:cfRule type="dataBar" id="{940AB65D-6C63-4040-BEBC-8E3BA04E840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A72:A98</xm:sqref>
        </x14:conditionalFormatting>
        <x14:conditionalFormatting xmlns:xm="http://schemas.microsoft.com/office/excel/2006/main">
          <x14:cfRule type="dataBar" id="{392BD424-E85F-4E84-8C72-AE2A081F2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A72:A98</xm:sqref>
        </x14:conditionalFormatting>
        <x14:conditionalFormatting xmlns:xm="http://schemas.microsoft.com/office/excel/2006/main">
          <x14:cfRule type="dataBar" id="{1E593B33-CBE0-455B-A925-7D170C76FA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D30:D52</xm:sqref>
        </x14:conditionalFormatting>
        <x14:conditionalFormatting xmlns:xm="http://schemas.microsoft.com/office/excel/2006/main">
          <x14:cfRule type="dataBar" id="{7A71151D-D26E-46CB-B202-49665D4589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D55:D69</xm:sqref>
        </x14:conditionalFormatting>
        <x14:conditionalFormatting xmlns:xm="http://schemas.microsoft.com/office/excel/2006/main">
          <x14:cfRule type="dataBar" id="{C8F67A34-B97A-42DF-91AF-D75430F04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D72:D98</xm:sqref>
        </x14:conditionalFormatting>
        <x14:conditionalFormatting xmlns:xm="http://schemas.microsoft.com/office/excel/2006/main">
          <x14:cfRule type="dataBar" id="{6E9A08A9-7A1D-4C1A-AA9C-03DA55807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D30:D98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B43B-20FD-40F1-ACFC-612A5DE14FAA}">
  <dimension ref="A1:G47"/>
  <sheetViews>
    <sheetView workbookViewId="0">
      <selection activeCell="B1" sqref="B1"/>
    </sheetView>
  </sheetViews>
  <sheetFormatPr defaultRowHeight="14.25" x14ac:dyDescent="0.2"/>
  <cols>
    <col min="1" max="1" width="87" bestFit="1" customWidth="1"/>
    <col min="2" max="2" width="21.375" bestFit="1" customWidth="1"/>
    <col min="3" max="3" width="13.375" bestFit="1" customWidth="1"/>
    <col min="4" max="4" width="21.375" bestFit="1" customWidth="1"/>
    <col min="5" max="5" width="13.375" bestFit="1" customWidth="1"/>
    <col min="6" max="6" width="21.375" bestFit="1" customWidth="1"/>
    <col min="7" max="7" width="13.375" bestFit="1" customWidth="1"/>
  </cols>
  <sheetData>
    <row r="1" spans="1:7" ht="15" x14ac:dyDescent="0.25">
      <c r="A1" s="5"/>
      <c r="B1" s="5" t="s">
        <v>77</v>
      </c>
      <c r="C1" s="5"/>
      <c r="D1" s="5" t="s">
        <v>87</v>
      </c>
      <c r="E1" s="5"/>
      <c r="F1" s="5" t="s">
        <v>112</v>
      </c>
      <c r="G1" s="5"/>
    </row>
    <row r="2" spans="1:7" ht="15" x14ac:dyDescent="0.25">
      <c r="A2" s="4" t="s">
        <v>114</v>
      </c>
      <c r="B2" s="4" t="s">
        <v>11</v>
      </c>
      <c r="C2" s="4" t="s">
        <v>15</v>
      </c>
      <c r="D2" s="4" t="s">
        <v>11</v>
      </c>
      <c r="E2" s="4" t="s">
        <v>15</v>
      </c>
      <c r="F2" s="4" t="s">
        <v>11</v>
      </c>
      <c r="G2" s="4" t="s">
        <v>15</v>
      </c>
    </row>
    <row r="3" spans="1:7" x14ac:dyDescent="0.2">
      <c r="A3" s="2" t="s">
        <v>30</v>
      </c>
      <c r="B3" s="3">
        <v>35</v>
      </c>
      <c r="C3" s="3">
        <v>0</v>
      </c>
      <c r="D3" s="3"/>
      <c r="E3" s="3"/>
      <c r="F3" s="3"/>
      <c r="G3" s="3"/>
    </row>
    <row r="4" spans="1:7" x14ac:dyDescent="0.2">
      <c r="A4" s="2" t="s">
        <v>26</v>
      </c>
      <c r="B4" s="3">
        <v>139</v>
      </c>
      <c r="C4" s="3">
        <v>9</v>
      </c>
      <c r="D4" s="3"/>
      <c r="E4" s="3"/>
      <c r="F4" s="3"/>
      <c r="G4" s="3"/>
    </row>
    <row r="5" spans="1:7" x14ac:dyDescent="0.2">
      <c r="A5" s="2" t="s">
        <v>25</v>
      </c>
      <c r="B5" s="3">
        <v>134</v>
      </c>
      <c r="C5" s="3">
        <v>11</v>
      </c>
      <c r="D5" s="3"/>
      <c r="E5" s="3"/>
      <c r="F5" s="3"/>
      <c r="G5" s="3"/>
    </row>
    <row r="6" spans="1:7" x14ac:dyDescent="0.2">
      <c r="A6" s="2" t="s">
        <v>72</v>
      </c>
      <c r="B6" s="3">
        <v>22</v>
      </c>
      <c r="C6" s="3">
        <v>16</v>
      </c>
      <c r="D6" s="3"/>
      <c r="E6" s="3"/>
      <c r="F6" s="3"/>
      <c r="G6" s="3"/>
    </row>
    <row r="7" spans="1:7" x14ac:dyDescent="0.2">
      <c r="A7" s="2" t="s">
        <v>52</v>
      </c>
      <c r="B7" s="3">
        <v>33</v>
      </c>
      <c r="C7" s="3">
        <v>152</v>
      </c>
      <c r="D7" s="3"/>
      <c r="E7" s="3"/>
      <c r="F7" s="3"/>
      <c r="G7" s="3"/>
    </row>
    <row r="8" spans="1:7" x14ac:dyDescent="0.2">
      <c r="A8" s="2" t="s">
        <v>75</v>
      </c>
      <c r="B8" s="3">
        <v>2</v>
      </c>
      <c r="C8" s="3">
        <v>10</v>
      </c>
      <c r="D8" s="3"/>
      <c r="E8" s="3"/>
      <c r="F8" s="3"/>
      <c r="G8" s="3"/>
    </row>
    <row r="9" spans="1:7" x14ac:dyDescent="0.2">
      <c r="A9" s="2" t="s">
        <v>61</v>
      </c>
      <c r="B9" s="3">
        <v>5</v>
      </c>
      <c r="C9" s="3">
        <v>32</v>
      </c>
      <c r="D9" s="3"/>
      <c r="E9" s="3"/>
      <c r="F9" s="3"/>
      <c r="G9" s="3"/>
    </row>
    <row r="10" spans="1:7" x14ac:dyDescent="0.2">
      <c r="A10" s="2" t="s">
        <v>60</v>
      </c>
      <c r="B10" s="3">
        <v>3</v>
      </c>
      <c r="C10" s="3">
        <v>23</v>
      </c>
      <c r="D10" s="3"/>
      <c r="E10" s="3"/>
      <c r="F10" s="3"/>
      <c r="G10" s="3"/>
    </row>
    <row r="11" spans="1:7" x14ac:dyDescent="0.2">
      <c r="A11" s="2" t="s">
        <v>65</v>
      </c>
      <c r="B11" s="3">
        <v>2</v>
      </c>
      <c r="C11" s="3">
        <v>16</v>
      </c>
      <c r="D11" s="3"/>
      <c r="E11" s="3"/>
      <c r="F11" s="3"/>
      <c r="G11" s="3"/>
    </row>
    <row r="12" spans="1:7" x14ac:dyDescent="0.2">
      <c r="A12" s="2" t="s">
        <v>59</v>
      </c>
      <c r="B12" s="3">
        <v>1</v>
      </c>
      <c r="C12" s="3">
        <v>29</v>
      </c>
      <c r="D12" s="3"/>
      <c r="E12" s="3"/>
      <c r="F12" s="3"/>
      <c r="G12" s="3"/>
    </row>
    <row r="13" spans="1:7" x14ac:dyDescent="0.2">
      <c r="A13" s="2" t="s">
        <v>67</v>
      </c>
      <c r="B13" s="3">
        <v>0</v>
      </c>
      <c r="C13" s="3">
        <v>8</v>
      </c>
      <c r="D13" s="3"/>
      <c r="E13" s="3"/>
      <c r="F13" s="3"/>
      <c r="G13" s="3"/>
    </row>
    <row r="14" spans="1:7" x14ac:dyDescent="0.2">
      <c r="A14" s="2" t="s">
        <v>76</v>
      </c>
      <c r="B14" s="3">
        <v>0</v>
      </c>
      <c r="C14" s="3">
        <v>8</v>
      </c>
      <c r="D14" s="3"/>
      <c r="E14" s="3"/>
      <c r="F14" s="3"/>
      <c r="G14" s="3"/>
    </row>
    <row r="15" spans="1:7" x14ac:dyDescent="0.2">
      <c r="A15" s="2" t="s">
        <v>74</v>
      </c>
      <c r="B15" s="3">
        <v>0</v>
      </c>
      <c r="C15" s="3">
        <v>5</v>
      </c>
      <c r="D15" s="3"/>
      <c r="E15" s="3"/>
      <c r="F15" s="3"/>
      <c r="G15" s="3"/>
    </row>
    <row r="16" spans="1:7" x14ac:dyDescent="0.2">
      <c r="A16" s="2" t="s">
        <v>71</v>
      </c>
      <c r="B16" s="3">
        <v>0</v>
      </c>
      <c r="C16" s="3">
        <v>8</v>
      </c>
      <c r="D16" s="3"/>
      <c r="E16" s="3"/>
      <c r="F16" s="3"/>
      <c r="G16" s="3"/>
    </row>
    <row r="17" spans="1:7" x14ac:dyDescent="0.2">
      <c r="A17" s="2" t="s">
        <v>73</v>
      </c>
      <c r="B17" s="3">
        <v>0</v>
      </c>
      <c r="C17" s="3">
        <v>7</v>
      </c>
      <c r="D17" s="3"/>
      <c r="E17" s="3"/>
      <c r="F17" s="3"/>
      <c r="G17" s="3"/>
    </row>
    <row r="18" spans="1:7" x14ac:dyDescent="0.2">
      <c r="A18" s="2"/>
      <c r="B18" s="3"/>
      <c r="C18" s="3"/>
      <c r="D18" s="3"/>
      <c r="E18" s="3"/>
      <c r="F18" s="3"/>
      <c r="G18" s="3"/>
    </row>
    <row r="19" spans="1:7" x14ac:dyDescent="0.2">
      <c r="A19" t="s">
        <v>83</v>
      </c>
      <c r="B19" s="3"/>
      <c r="C19" s="3"/>
      <c r="D19">
        <v>16</v>
      </c>
      <c r="E19">
        <v>10</v>
      </c>
      <c r="F19" s="3"/>
      <c r="G19" s="3"/>
    </row>
    <row r="20" spans="1:7" x14ac:dyDescent="0.2">
      <c r="A20" t="s">
        <v>82</v>
      </c>
      <c r="B20" s="3"/>
      <c r="C20" s="3"/>
      <c r="D20">
        <v>121</v>
      </c>
      <c r="E20">
        <v>93</v>
      </c>
      <c r="F20" s="3"/>
      <c r="G20" s="3"/>
    </row>
    <row r="21" spans="1:7" x14ac:dyDescent="0.2">
      <c r="A21" t="s">
        <v>85</v>
      </c>
      <c r="B21" s="3"/>
      <c r="C21" s="3"/>
      <c r="D21">
        <v>21</v>
      </c>
      <c r="E21">
        <v>24</v>
      </c>
      <c r="F21" s="3"/>
      <c r="G21" s="3"/>
    </row>
    <row r="22" spans="1:7" x14ac:dyDescent="0.2">
      <c r="A22" t="s">
        <v>52</v>
      </c>
      <c r="B22" s="3"/>
      <c r="C22" s="3"/>
      <c r="D22">
        <v>50</v>
      </c>
      <c r="E22">
        <v>132</v>
      </c>
      <c r="F22" s="3"/>
      <c r="G22" s="3"/>
    </row>
    <row r="23" spans="1:7" x14ac:dyDescent="0.2">
      <c r="A23" t="s">
        <v>75</v>
      </c>
      <c r="B23" s="3"/>
      <c r="C23" s="3"/>
      <c r="D23">
        <v>3</v>
      </c>
      <c r="E23">
        <v>9</v>
      </c>
      <c r="F23" s="3"/>
      <c r="G23" s="3"/>
    </row>
    <row r="24" spans="1:7" x14ac:dyDescent="0.2">
      <c r="A24" t="s">
        <v>86</v>
      </c>
      <c r="B24" s="3"/>
      <c r="C24" s="3"/>
      <c r="D24">
        <v>6</v>
      </c>
      <c r="E24">
        <v>31</v>
      </c>
      <c r="F24" s="3"/>
      <c r="G24" s="3"/>
    </row>
    <row r="25" spans="1:7" x14ac:dyDescent="0.2">
      <c r="A25" t="s">
        <v>84</v>
      </c>
      <c r="B25" s="3"/>
      <c r="C25" s="3"/>
      <c r="D25">
        <v>0</v>
      </c>
      <c r="E25">
        <v>5</v>
      </c>
      <c r="F25" s="3"/>
      <c r="G25" s="3"/>
    </row>
    <row r="26" spans="1:7" x14ac:dyDescent="0.2">
      <c r="A26" s="2"/>
      <c r="B26" s="3"/>
      <c r="C26" s="3"/>
      <c r="D26" s="3"/>
      <c r="E26" s="3"/>
      <c r="F26" s="3"/>
      <c r="G26" s="3"/>
    </row>
    <row r="27" spans="1:7" x14ac:dyDescent="0.2">
      <c r="A27" s="2" t="s">
        <v>86</v>
      </c>
      <c r="B27" s="3"/>
      <c r="C27" s="3"/>
      <c r="D27" s="3"/>
      <c r="E27" s="3"/>
      <c r="F27" s="3">
        <v>11</v>
      </c>
      <c r="G27" s="3">
        <v>2</v>
      </c>
    </row>
    <row r="28" spans="1:7" x14ac:dyDescent="0.2">
      <c r="A28" s="2" t="s">
        <v>84</v>
      </c>
      <c r="B28" s="3"/>
      <c r="C28" s="3"/>
      <c r="D28" s="3"/>
      <c r="E28" s="3"/>
      <c r="F28" s="3">
        <v>5</v>
      </c>
      <c r="G28" s="3">
        <v>1</v>
      </c>
    </row>
    <row r="29" spans="1:7" x14ac:dyDescent="0.2">
      <c r="A29" s="2" t="s">
        <v>82</v>
      </c>
      <c r="B29" s="3"/>
      <c r="C29" s="3"/>
      <c r="D29" s="3"/>
      <c r="E29" s="3"/>
      <c r="F29" s="3">
        <v>5</v>
      </c>
      <c r="G29" s="3">
        <v>1</v>
      </c>
    </row>
    <row r="30" spans="1:7" x14ac:dyDescent="0.2">
      <c r="A30" s="2" t="s">
        <v>83</v>
      </c>
      <c r="B30" s="3"/>
      <c r="C30" s="3"/>
      <c r="D30" s="3"/>
      <c r="E30" s="3"/>
      <c r="F30" s="3">
        <v>5</v>
      </c>
      <c r="G30" s="3">
        <v>1</v>
      </c>
    </row>
    <row r="31" spans="1:7" x14ac:dyDescent="0.2">
      <c r="A31" s="2" t="s">
        <v>103</v>
      </c>
      <c r="B31" s="3"/>
      <c r="C31" s="3"/>
      <c r="D31" s="3"/>
      <c r="E31" s="3"/>
      <c r="F31" s="3">
        <v>14</v>
      </c>
      <c r="G31" s="3">
        <v>4</v>
      </c>
    </row>
    <row r="32" spans="1:7" x14ac:dyDescent="0.2">
      <c r="A32" s="2" t="s">
        <v>110</v>
      </c>
      <c r="B32" s="3"/>
      <c r="C32" s="3"/>
      <c r="D32" s="3"/>
      <c r="E32" s="3"/>
      <c r="F32" s="3">
        <v>22</v>
      </c>
      <c r="G32" s="3">
        <v>8</v>
      </c>
    </row>
    <row r="33" spans="1:7" x14ac:dyDescent="0.2">
      <c r="A33" s="2" t="s">
        <v>24</v>
      </c>
      <c r="B33" s="3"/>
      <c r="C33" s="3"/>
      <c r="D33" s="3"/>
      <c r="E33" s="3"/>
      <c r="F33" s="3">
        <v>8</v>
      </c>
      <c r="G33" s="3">
        <v>3</v>
      </c>
    </row>
    <row r="34" spans="1:7" x14ac:dyDescent="0.2">
      <c r="A34" s="2" t="s">
        <v>105</v>
      </c>
      <c r="B34" s="3"/>
      <c r="C34" s="3"/>
      <c r="D34" s="3"/>
      <c r="E34" s="3"/>
      <c r="F34" s="3">
        <v>5</v>
      </c>
      <c r="G34" s="3">
        <v>2</v>
      </c>
    </row>
    <row r="35" spans="1:7" x14ac:dyDescent="0.2">
      <c r="A35" s="2" t="s">
        <v>29</v>
      </c>
      <c r="B35" s="3"/>
      <c r="C35" s="3"/>
      <c r="D35" s="3"/>
      <c r="E35" s="3"/>
      <c r="F35" s="3">
        <v>127</v>
      </c>
      <c r="G35" s="3">
        <v>91</v>
      </c>
    </row>
    <row r="36" spans="1:7" x14ac:dyDescent="0.2">
      <c r="A36" s="2" t="s">
        <v>23</v>
      </c>
      <c r="B36" s="3"/>
      <c r="C36" s="3"/>
      <c r="D36" s="3"/>
      <c r="E36" s="3"/>
      <c r="F36" s="3">
        <v>4</v>
      </c>
      <c r="G36" s="3">
        <v>3</v>
      </c>
    </row>
    <row r="37" spans="1:7" x14ac:dyDescent="0.2">
      <c r="A37" s="2" t="s">
        <v>104</v>
      </c>
      <c r="B37" s="3"/>
      <c r="C37" s="3"/>
      <c r="D37" s="3"/>
      <c r="E37" s="3"/>
      <c r="F37" s="3">
        <v>2</v>
      </c>
      <c r="G37" s="3">
        <v>8</v>
      </c>
    </row>
    <row r="38" spans="1:7" x14ac:dyDescent="0.2">
      <c r="A38" s="2" t="s">
        <v>43</v>
      </c>
      <c r="B38" s="3"/>
      <c r="C38" s="3"/>
      <c r="D38" s="3"/>
      <c r="E38" s="3"/>
      <c r="F38" s="3">
        <v>20</v>
      </c>
      <c r="G38" s="3">
        <v>125</v>
      </c>
    </row>
    <row r="39" spans="1:7" x14ac:dyDescent="0.2">
      <c r="A39" s="2" t="s">
        <v>106</v>
      </c>
      <c r="B39" s="3"/>
      <c r="C39" s="3"/>
      <c r="D39" s="3"/>
      <c r="E39" s="3"/>
      <c r="F39" s="3">
        <v>1</v>
      </c>
      <c r="G39" s="3">
        <v>9</v>
      </c>
    </row>
    <row r="40" spans="1:7" x14ac:dyDescent="0.2">
      <c r="A40" s="2" t="s">
        <v>107</v>
      </c>
      <c r="B40" s="3"/>
      <c r="C40" s="3"/>
      <c r="D40" s="3"/>
      <c r="E40" s="3"/>
      <c r="F40" s="3">
        <v>2</v>
      </c>
      <c r="G40" s="3">
        <v>21</v>
      </c>
    </row>
    <row r="41" spans="1:7" x14ac:dyDescent="0.2">
      <c r="A41" s="2" t="s">
        <v>109</v>
      </c>
      <c r="B41" s="3"/>
      <c r="C41" s="3"/>
      <c r="D41" s="3"/>
      <c r="E41" s="3"/>
      <c r="F41" s="3">
        <v>2</v>
      </c>
      <c r="G41" s="3">
        <v>44</v>
      </c>
    </row>
    <row r="42" spans="1:7" x14ac:dyDescent="0.2">
      <c r="A42" s="2" t="s">
        <v>108</v>
      </c>
      <c r="B42" s="3"/>
      <c r="C42" s="3"/>
      <c r="D42" s="3"/>
      <c r="E42" s="3"/>
      <c r="F42" s="3">
        <v>0</v>
      </c>
      <c r="G42" s="3">
        <v>29</v>
      </c>
    </row>
    <row r="43" spans="1:7" x14ac:dyDescent="0.2">
      <c r="A43" s="2" t="s">
        <v>111</v>
      </c>
      <c r="B43" s="3"/>
      <c r="C43" s="3"/>
      <c r="D43" s="3"/>
      <c r="E43" s="3"/>
      <c r="F43" s="3">
        <v>0</v>
      </c>
      <c r="G43" s="3">
        <v>7</v>
      </c>
    </row>
    <row r="44" spans="1:7" x14ac:dyDescent="0.2">
      <c r="A44" s="2" t="s">
        <v>50</v>
      </c>
      <c r="B44" s="3"/>
      <c r="C44" s="3"/>
      <c r="D44" s="3"/>
      <c r="E44" s="3"/>
      <c r="F44" s="3">
        <v>0</v>
      </c>
      <c r="G44" s="3">
        <v>5</v>
      </c>
    </row>
    <row r="45" spans="1:7" x14ac:dyDescent="0.2">
      <c r="A45" s="2" t="s">
        <v>31</v>
      </c>
      <c r="B45" s="3"/>
      <c r="C45" s="3"/>
      <c r="D45" s="3"/>
      <c r="E45" s="3"/>
      <c r="F45" s="3">
        <v>0</v>
      </c>
      <c r="G45" s="3">
        <v>13</v>
      </c>
    </row>
    <row r="46" spans="1:7" x14ac:dyDescent="0.2">
      <c r="A46" s="2" t="s">
        <v>73</v>
      </c>
      <c r="B46" s="3"/>
      <c r="C46" s="3"/>
      <c r="D46" s="3"/>
      <c r="E46" s="3"/>
    </row>
    <row r="47" spans="1:7" x14ac:dyDescent="0.2">
      <c r="A47" s="2" t="s">
        <v>25</v>
      </c>
      <c r="B47" s="3"/>
      <c r="C47" s="3"/>
      <c r="D47" s="3"/>
      <c r="E47" s="3"/>
    </row>
  </sheetData>
  <conditionalFormatting sqref="A14:A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1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{707B602E-0397-4E85-8CC7-A1B22DC5E469}</x14:id>
        </ext>
      </extLst>
    </cfRule>
  </conditionalFormatting>
  <conditionalFormatting sqref="A14:A1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{3C3D507D-28C3-45A3-BEB8-BF8E9E70D85F}</x14:id>
        </ext>
      </extLst>
    </cfRule>
  </conditionalFormatting>
  <conditionalFormatting sqref="A1:A13 A16:A18 A26 A31:A47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13 A16:A18 A26 A31:A47"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{970C6DBE-C6E3-4421-86C7-75474AE86E2C}</x14:id>
        </ext>
      </extLst>
    </cfRule>
  </conditionalFormatting>
  <conditionalFormatting sqref="A1:A13 A16:A18 A26 A31:A47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{E817B105-73E6-4F6E-84FA-39B55E4D1134}</x14:id>
        </ext>
      </extLst>
    </cfRule>
  </conditionalFormatting>
  <conditionalFormatting sqref="A27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:A30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{29AB7D2C-8739-4062-B09B-7B7D3533B626}</x14:id>
        </ext>
      </extLst>
    </cfRule>
  </conditionalFormatting>
  <conditionalFormatting sqref="A27:A3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{ED4C9B9C-52A7-4771-AE06-0E0D06B646C2}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7B602E-0397-4E85-8CC7-A1B22DC5E46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A14:A15</xm:sqref>
        </x14:conditionalFormatting>
        <x14:conditionalFormatting xmlns:xm="http://schemas.microsoft.com/office/excel/2006/main">
          <x14:cfRule type="dataBar" id="{3C3D507D-28C3-45A3-BEB8-BF8E9E70D8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A14:A15</xm:sqref>
        </x14:conditionalFormatting>
        <x14:conditionalFormatting xmlns:xm="http://schemas.microsoft.com/office/excel/2006/main">
          <x14:cfRule type="dataBar" id="{970C6DBE-C6E3-4421-86C7-75474AE86E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A1:A13 A16:A18 A26 A31:A47</xm:sqref>
        </x14:conditionalFormatting>
        <x14:conditionalFormatting xmlns:xm="http://schemas.microsoft.com/office/excel/2006/main">
          <x14:cfRule type="dataBar" id="{E817B105-73E6-4F6E-84FA-39B55E4D11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A1:A13 A16:A18 A26 A31:A47</xm:sqref>
        </x14:conditionalFormatting>
        <x14:conditionalFormatting xmlns:xm="http://schemas.microsoft.com/office/excel/2006/main">
          <x14:cfRule type="dataBar" id="{29AB7D2C-8739-4062-B09B-7B7D3533B6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A27:A30</xm:sqref>
        </x14:conditionalFormatting>
        <x14:conditionalFormatting xmlns:xm="http://schemas.microsoft.com/office/excel/2006/main">
          <x14:cfRule type="dataBar" id="{ED4C9B9C-52A7-4771-AE06-0E0D06B646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A27:A30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27F2-5CD8-4AFD-81FC-51BBE1B21510}">
  <dimension ref="A1:D9"/>
  <sheetViews>
    <sheetView workbookViewId="0">
      <selection activeCell="G37" sqref="G37"/>
    </sheetView>
  </sheetViews>
  <sheetFormatPr defaultRowHeight="14.25" x14ac:dyDescent="0.2"/>
  <cols>
    <col min="1" max="1" width="42.5" bestFit="1" customWidth="1"/>
    <col min="2" max="3" width="10" bestFit="1" customWidth="1"/>
    <col min="4" max="4" width="12.375" bestFit="1" customWidth="1"/>
  </cols>
  <sheetData>
    <row r="1" spans="1:4" x14ac:dyDescent="0.2">
      <c r="A1" t="s">
        <v>117</v>
      </c>
      <c r="B1" t="s">
        <v>1</v>
      </c>
      <c r="C1" t="s">
        <v>11</v>
      </c>
      <c r="D1" t="s">
        <v>15</v>
      </c>
    </row>
    <row r="2" spans="1:4" x14ac:dyDescent="0.2">
      <c r="A2" t="s">
        <v>58</v>
      </c>
      <c r="B2" s="6">
        <v>26</v>
      </c>
      <c r="C2" s="6">
        <v>2.3333333333333335</v>
      </c>
      <c r="D2" s="6">
        <v>23.666666666666668</v>
      </c>
    </row>
    <row r="3" spans="1:4" x14ac:dyDescent="0.2">
      <c r="A3" t="s">
        <v>70</v>
      </c>
      <c r="B3" s="6">
        <v>5</v>
      </c>
      <c r="C3" s="6">
        <v>0</v>
      </c>
      <c r="D3" s="6">
        <v>5</v>
      </c>
    </row>
    <row r="4" spans="1:4" x14ac:dyDescent="0.2">
      <c r="A4" t="s">
        <v>64</v>
      </c>
      <c r="B4" s="6">
        <v>210.66666666666666</v>
      </c>
      <c r="C4" s="6">
        <v>45.666666666666664</v>
      </c>
      <c r="D4" s="6">
        <v>165</v>
      </c>
    </row>
    <row r="5" spans="1:4" x14ac:dyDescent="0.2">
      <c r="A5" t="s">
        <v>62</v>
      </c>
      <c r="B5" s="6">
        <v>19</v>
      </c>
      <c r="C5" s="6">
        <v>2</v>
      </c>
      <c r="D5" s="6">
        <v>17</v>
      </c>
    </row>
    <row r="6" spans="1:4" x14ac:dyDescent="0.2">
      <c r="A6" t="s">
        <v>69</v>
      </c>
      <c r="B6" s="6">
        <v>5</v>
      </c>
      <c r="C6" s="6">
        <v>0</v>
      </c>
      <c r="D6" s="6">
        <v>5</v>
      </c>
    </row>
    <row r="7" spans="1:4" x14ac:dyDescent="0.2">
      <c r="A7" t="s">
        <v>68</v>
      </c>
      <c r="B7" s="6">
        <v>5</v>
      </c>
      <c r="C7" s="6">
        <v>0</v>
      </c>
      <c r="D7" s="6">
        <v>5</v>
      </c>
    </row>
    <row r="8" spans="1:4" x14ac:dyDescent="0.2">
      <c r="A8" t="s">
        <v>63</v>
      </c>
      <c r="B8" s="6">
        <v>6</v>
      </c>
      <c r="C8" s="6">
        <v>1</v>
      </c>
      <c r="D8" s="6">
        <v>5</v>
      </c>
    </row>
    <row r="9" spans="1:4" x14ac:dyDescent="0.2">
      <c r="A9" t="s">
        <v>66</v>
      </c>
      <c r="B9" s="6">
        <v>12</v>
      </c>
      <c r="C9" s="6">
        <v>1</v>
      </c>
      <c r="D9" s="6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0"/>
  <sheetViews>
    <sheetView workbookViewId="0">
      <selection activeCell="A2" sqref="A2"/>
    </sheetView>
  </sheetViews>
  <sheetFormatPr defaultRowHeight="14.25" x14ac:dyDescent="0.2"/>
  <cols>
    <col min="1" max="1" width="19.375" customWidth="1"/>
    <col min="3" max="3" width="13.25" customWidth="1"/>
    <col min="4" max="4" width="17.5" customWidth="1"/>
    <col min="5" max="5" width="15.25" customWidth="1"/>
    <col min="6" max="6" width="18.375" customWidth="1"/>
    <col min="7" max="7" width="17.5" customWidth="1"/>
    <col min="8" max="8" width="15.25" customWidth="1"/>
    <col min="9" max="9" width="18.375" customWidth="1"/>
    <col min="10" max="10" width="15.5" customWidth="1"/>
    <col min="11" max="11" width="13.25" customWidth="1"/>
    <col min="12" max="12" width="16.375" customWidth="1"/>
    <col min="13" max="13" width="12.875" customWidth="1"/>
    <col min="14" max="14" width="17.5" customWidth="1"/>
    <col min="15" max="15" width="15.25" customWidth="1"/>
    <col min="16" max="16" width="18.375" customWidth="1"/>
    <col min="17" max="17" width="15.625" customWidth="1"/>
    <col min="18" max="18" width="17.5" customWidth="1"/>
    <col min="19" max="19" width="15.25" customWidth="1"/>
    <col min="20" max="20" width="18.375" customWidth="1"/>
  </cols>
  <sheetData>
    <row r="1" spans="1:20" x14ac:dyDescent="0.2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t="s">
        <v>49</v>
      </c>
      <c r="B2" t="s">
        <v>19</v>
      </c>
      <c r="C2">
        <v>52</v>
      </c>
      <c r="D2">
        <v>5.4845999999999999E-2</v>
      </c>
      <c r="E2">
        <v>1E-4</v>
      </c>
      <c r="F2">
        <v>3.1928E-3</v>
      </c>
      <c r="G2">
        <v>0.94515000000000005</v>
      </c>
      <c r="H2">
        <v>1</v>
      </c>
      <c r="I2">
        <v>1</v>
      </c>
      <c r="J2">
        <v>5.7255E-2</v>
      </c>
      <c r="K2">
        <v>1E-4</v>
      </c>
      <c r="L2">
        <v>6.6135999999999999E-3</v>
      </c>
      <c r="M2">
        <v>50</v>
      </c>
      <c r="N2">
        <v>4.6811999999999999E-2</v>
      </c>
      <c r="O2">
        <v>1E-4</v>
      </c>
      <c r="P2">
        <v>1.8058000000000001E-2</v>
      </c>
      <c r="Q2">
        <v>2</v>
      </c>
      <c r="R2">
        <v>0.31831999999999999</v>
      </c>
      <c r="S2">
        <v>0.73282999999999998</v>
      </c>
      <c r="T2">
        <v>1</v>
      </c>
    </row>
    <row r="3" spans="1:20" x14ac:dyDescent="0.2">
      <c r="A3" t="s">
        <v>49</v>
      </c>
      <c r="B3" t="s">
        <v>20</v>
      </c>
      <c r="C3">
        <v>48</v>
      </c>
      <c r="D3">
        <v>5.0146999999999997E-2</v>
      </c>
      <c r="E3">
        <v>1E-4</v>
      </c>
      <c r="F3">
        <v>3.1928E-3</v>
      </c>
      <c r="G3">
        <v>0.94984999999999997</v>
      </c>
      <c r="H3">
        <v>1</v>
      </c>
      <c r="I3">
        <v>1</v>
      </c>
      <c r="J3">
        <v>6.1795999999999997E-2</v>
      </c>
      <c r="K3">
        <v>1E-4</v>
      </c>
      <c r="L3">
        <v>6.6135999999999999E-3</v>
      </c>
      <c r="M3">
        <v>47</v>
      </c>
      <c r="N3">
        <v>6.1492999999999999E-2</v>
      </c>
      <c r="O3">
        <v>1E-4</v>
      </c>
      <c r="P3">
        <v>1.8058000000000001E-2</v>
      </c>
      <c r="Q3">
        <v>1</v>
      </c>
      <c r="R3">
        <v>7.6063000000000006E-2</v>
      </c>
      <c r="S3">
        <v>0.53095000000000003</v>
      </c>
      <c r="T3">
        <v>1</v>
      </c>
    </row>
    <row r="4" spans="1:20" x14ac:dyDescent="0.2">
      <c r="A4" t="s">
        <v>49</v>
      </c>
      <c r="B4" t="s">
        <v>21</v>
      </c>
      <c r="C4">
        <v>15</v>
      </c>
      <c r="D4">
        <v>1.2201E-2</v>
      </c>
      <c r="E4">
        <v>1E-4</v>
      </c>
      <c r="F4">
        <v>3.1928E-3</v>
      </c>
      <c r="G4">
        <v>0.98780000000000001</v>
      </c>
      <c r="H4">
        <v>1</v>
      </c>
      <c r="I4">
        <v>1</v>
      </c>
      <c r="J4">
        <v>2.4402E-2</v>
      </c>
      <c r="K4">
        <v>1E-4</v>
      </c>
      <c r="L4">
        <v>6.6135999999999999E-3</v>
      </c>
      <c r="M4">
        <v>15</v>
      </c>
      <c r="N4">
        <v>2.4402E-2</v>
      </c>
      <c r="O4">
        <v>1E-4</v>
      </c>
      <c r="P4">
        <v>1.8058000000000001E-2</v>
      </c>
      <c r="Q4">
        <v>0</v>
      </c>
      <c r="R4" t="s">
        <v>22</v>
      </c>
      <c r="S4" t="s">
        <v>22</v>
      </c>
      <c r="T4" t="s">
        <v>22</v>
      </c>
    </row>
    <row r="5" spans="1:20" x14ac:dyDescent="0.2">
      <c r="A5" t="s">
        <v>49</v>
      </c>
      <c r="B5" t="s">
        <v>23</v>
      </c>
      <c r="C5">
        <v>29</v>
      </c>
      <c r="D5">
        <v>0.95543</v>
      </c>
      <c r="E5">
        <v>1</v>
      </c>
      <c r="F5">
        <v>1</v>
      </c>
      <c r="G5">
        <v>4.4568000000000003E-2</v>
      </c>
      <c r="H5">
        <v>1E-4</v>
      </c>
      <c r="I5">
        <v>1.97E-3</v>
      </c>
      <c r="J5">
        <v>2.0556000000000001E-2</v>
      </c>
      <c r="K5">
        <v>1E-4</v>
      </c>
      <c r="L5">
        <v>6.6135999999999999E-3</v>
      </c>
      <c r="M5">
        <v>1</v>
      </c>
      <c r="N5">
        <v>5.6058999999999996E-3</v>
      </c>
      <c r="O5">
        <v>6.1393999999999997E-2</v>
      </c>
      <c r="P5">
        <v>0.51812000000000002</v>
      </c>
      <c r="Q5">
        <v>28</v>
      </c>
      <c r="R5">
        <v>2.1090000000000001E-2</v>
      </c>
      <c r="S5">
        <v>1E-4</v>
      </c>
      <c r="T5">
        <v>7.5691999999999999E-3</v>
      </c>
    </row>
    <row r="6" spans="1:20" x14ac:dyDescent="0.2">
      <c r="A6" t="s">
        <v>49</v>
      </c>
      <c r="B6" t="s">
        <v>24</v>
      </c>
      <c r="C6">
        <v>13</v>
      </c>
      <c r="D6">
        <v>0.76537999999999995</v>
      </c>
      <c r="E6">
        <v>0.99980000000000002</v>
      </c>
      <c r="F6">
        <v>1</v>
      </c>
      <c r="G6">
        <v>0.23462</v>
      </c>
      <c r="H6">
        <v>2.9996999999999999E-4</v>
      </c>
      <c r="I6">
        <v>4.7080000000000004E-3</v>
      </c>
      <c r="J6">
        <v>2.1857000000000001E-2</v>
      </c>
      <c r="K6">
        <v>1E-4</v>
      </c>
      <c r="L6">
        <v>6.6135999999999999E-3</v>
      </c>
      <c r="M6">
        <v>3</v>
      </c>
      <c r="N6">
        <v>3.0661000000000001E-2</v>
      </c>
      <c r="O6">
        <v>8.2792000000000004E-2</v>
      </c>
      <c r="P6">
        <v>0.57508000000000004</v>
      </c>
      <c r="Q6">
        <v>10</v>
      </c>
      <c r="R6">
        <v>1.9216E-2</v>
      </c>
      <c r="S6">
        <v>4.9994999999999998E-4</v>
      </c>
      <c r="T6">
        <v>2.8385000000000001E-2</v>
      </c>
    </row>
    <row r="7" spans="1:20" x14ac:dyDescent="0.2">
      <c r="A7" t="s">
        <v>49</v>
      </c>
      <c r="B7" t="s">
        <v>25</v>
      </c>
      <c r="C7">
        <v>123</v>
      </c>
      <c r="D7">
        <v>0.96453</v>
      </c>
      <c r="E7">
        <v>1</v>
      </c>
      <c r="F7">
        <v>1</v>
      </c>
      <c r="G7">
        <v>3.5471000000000003E-2</v>
      </c>
      <c r="H7">
        <v>1E-4</v>
      </c>
      <c r="I7">
        <v>1.97E-3</v>
      </c>
      <c r="J7">
        <v>2.4702000000000002E-2</v>
      </c>
      <c r="K7">
        <v>1E-4</v>
      </c>
      <c r="L7">
        <v>6.6135999999999999E-3</v>
      </c>
      <c r="M7">
        <v>3</v>
      </c>
      <c r="N7">
        <v>5.2094000000000001E-2</v>
      </c>
      <c r="O7">
        <v>0.18398</v>
      </c>
      <c r="P7">
        <v>0.79491000000000001</v>
      </c>
      <c r="Q7">
        <v>120</v>
      </c>
      <c r="R7">
        <v>2.4017E-2</v>
      </c>
      <c r="S7">
        <v>1E-4</v>
      </c>
      <c r="T7">
        <v>7.5691999999999999E-3</v>
      </c>
    </row>
    <row r="8" spans="1:20" x14ac:dyDescent="0.2">
      <c r="A8" t="s">
        <v>49</v>
      </c>
      <c r="B8" t="s">
        <v>26</v>
      </c>
      <c r="C8">
        <v>126</v>
      </c>
      <c r="D8">
        <v>0.97287000000000001</v>
      </c>
      <c r="E8">
        <v>1</v>
      </c>
      <c r="F8">
        <v>1</v>
      </c>
      <c r="G8">
        <v>2.7126999999999998E-2</v>
      </c>
      <c r="H8">
        <v>1E-4</v>
      </c>
      <c r="I8">
        <v>1.97E-3</v>
      </c>
      <c r="J8">
        <v>2.4024E-2</v>
      </c>
      <c r="K8">
        <v>1E-4</v>
      </c>
      <c r="L8">
        <v>6.6135999999999999E-3</v>
      </c>
      <c r="M8">
        <v>2</v>
      </c>
      <c r="N8">
        <v>4.7737000000000002E-2</v>
      </c>
      <c r="O8">
        <v>0.24598</v>
      </c>
      <c r="P8">
        <v>0.82782999999999995</v>
      </c>
      <c r="Q8">
        <v>124</v>
      </c>
      <c r="R8">
        <v>2.3642E-2</v>
      </c>
      <c r="S8">
        <v>1E-4</v>
      </c>
      <c r="T8">
        <v>7.5691999999999999E-3</v>
      </c>
    </row>
    <row r="9" spans="1:20" x14ac:dyDescent="0.2">
      <c r="A9" t="s">
        <v>49</v>
      </c>
      <c r="B9" t="s">
        <v>27</v>
      </c>
      <c r="C9">
        <v>172</v>
      </c>
      <c r="D9">
        <v>0.93071999999999999</v>
      </c>
      <c r="E9">
        <v>1</v>
      </c>
      <c r="F9">
        <v>1</v>
      </c>
      <c r="G9">
        <v>6.9278000000000006E-2</v>
      </c>
      <c r="H9">
        <v>1E-4</v>
      </c>
      <c r="I9">
        <v>1.97E-3</v>
      </c>
      <c r="J9">
        <v>6.4765000000000003E-2</v>
      </c>
      <c r="K9">
        <v>1E-4</v>
      </c>
      <c r="L9">
        <v>6.6135999999999999E-3</v>
      </c>
      <c r="M9">
        <v>9</v>
      </c>
      <c r="N9">
        <v>0.29488999999999999</v>
      </c>
      <c r="O9">
        <v>0.94240999999999997</v>
      </c>
      <c r="P9">
        <v>1</v>
      </c>
      <c r="Q9">
        <v>163</v>
      </c>
      <c r="R9">
        <v>5.2059000000000001E-2</v>
      </c>
      <c r="S9">
        <v>1E-4</v>
      </c>
      <c r="T9">
        <v>7.5691999999999999E-3</v>
      </c>
    </row>
    <row r="10" spans="1:20" x14ac:dyDescent="0.2">
      <c r="A10" t="s">
        <v>49</v>
      </c>
      <c r="B10" t="s">
        <v>28</v>
      </c>
      <c r="C10">
        <v>162</v>
      </c>
      <c r="D10">
        <v>0.78530999999999995</v>
      </c>
      <c r="E10">
        <v>1</v>
      </c>
      <c r="F10">
        <v>1</v>
      </c>
      <c r="G10">
        <v>0.21468999999999999</v>
      </c>
      <c r="H10">
        <v>1E-4</v>
      </c>
      <c r="I10">
        <v>1.97E-3</v>
      </c>
      <c r="J10">
        <v>8.3948999999999996E-2</v>
      </c>
      <c r="K10">
        <v>1E-4</v>
      </c>
      <c r="L10">
        <v>6.6135999999999999E-3</v>
      </c>
      <c r="M10">
        <v>35</v>
      </c>
      <c r="N10">
        <v>0.20058999999999999</v>
      </c>
      <c r="O10">
        <v>0.82382</v>
      </c>
      <c r="P10">
        <v>1</v>
      </c>
      <c r="Q10">
        <v>127</v>
      </c>
      <c r="R10">
        <v>5.1804999999999997E-2</v>
      </c>
      <c r="S10">
        <v>1E-4</v>
      </c>
      <c r="T10">
        <v>7.5691999999999999E-3</v>
      </c>
    </row>
    <row r="11" spans="1:20" x14ac:dyDescent="0.2">
      <c r="A11" t="s">
        <v>49</v>
      </c>
      <c r="B11" t="s">
        <v>29</v>
      </c>
      <c r="C11">
        <v>42</v>
      </c>
      <c r="D11">
        <v>0.97077999999999998</v>
      </c>
      <c r="E11">
        <v>1</v>
      </c>
      <c r="F11">
        <v>1</v>
      </c>
      <c r="G11">
        <v>2.9221E-2</v>
      </c>
      <c r="H11">
        <v>1E-4</v>
      </c>
      <c r="I11">
        <v>1.97E-3</v>
      </c>
      <c r="J11">
        <v>3.9330999999999998E-2</v>
      </c>
      <c r="K11">
        <v>1E-4</v>
      </c>
      <c r="L11">
        <v>6.6135999999999999E-3</v>
      </c>
      <c r="M11">
        <v>1</v>
      </c>
      <c r="N11">
        <v>0.59865000000000002</v>
      </c>
      <c r="O11">
        <v>0.92340999999999995</v>
      </c>
      <c r="P11">
        <v>1</v>
      </c>
      <c r="Q11">
        <v>41</v>
      </c>
      <c r="R11">
        <v>2.5689E-2</v>
      </c>
      <c r="S11">
        <v>1E-4</v>
      </c>
      <c r="T11">
        <v>7.5691999999999999E-3</v>
      </c>
    </row>
    <row r="12" spans="1:20" x14ac:dyDescent="0.2">
      <c r="A12" t="s">
        <v>49</v>
      </c>
      <c r="B12" t="s">
        <v>30</v>
      </c>
      <c r="C12">
        <v>29</v>
      </c>
      <c r="D12">
        <v>0.99353000000000002</v>
      </c>
      <c r="E12">
        <v>1</v>
      </c>
      <c r="F12">
        <v>1</v>
      </c>
      <c r="G12">
        <v>6.4656000000000002E-3</v>
      </c>
      <c r="H12">
        <v>1E-4</v>
      </c>
      <c r="I12">
        <v>1.97E-3</v>
      </c>
      <c r="J12">
        <v>1.2931E-2</v>
      </c>
      <c r="K12">
        <v>1E-4</v>
      </c>
      <c r="L12">
        <v>6.6135999999999999E-3</v>
      </c>
      <c r="M12">
        <v>0</v>
      </c>
      <c r="N12" t="s">
        <v>22</v>
      </c>
      <c r="O12" t="s">
        <v>22</v>
      </c>
      <c r="P12" t="s">
        <v>22</v>
      </c>
      <c r="Q12">
        <v>29</v>
      </c>
      <c r="R12">
        <v>1.2931E-2</v>
      </c>
      <c r="S12">
        <v>1E-4</v>
      </c>
      <c r="T12">
        <v>7.5691999999999999E-3</v>
      </c>
    </row>
    <row r="13" spans="1:20" x14ac:dyDescent="0.2">
      <c r="A13" t="s">
        <v>49</v>
      </c>
      <c r="B13" t="s">
        <v>31</v>
      </c>
      <c r="C13">
        <v>12</v>
      </c>
      <c r="D13">
        <v>0.99297999999999997</v>
      </c>
      <c r="E13">
        <v>1</v>
      </c>
      <c r="F13">
        <v>1</v>
      </c>
      <c r="G13">
        <v>7.0152000000000001E-3</v>
      </c>
      <c r="H13">
        <v>1E-4</v>
      </c>
      <c r="I13">
        <v>1.97E-3</v>
      </c>
      <c r="J13">
        <v>1.4030000000000001E-2</v>
      </c>
      <c r="K13">
        <v>1E-4</v>
      </c>
      <c r="L13">
        <v>6.6135999999999999E-3</v>
      </c>
      <c r="M13">
        <v>0</v>
      </c>
      <c r="N13" t="s">
        <v>22</v>
      </c>
      <c r="O13" t="s">
        <v>22</v>
      </c>
      <c r="P13" t="s">
        <v>22</v>
      </c>
      <c r="Q13">
        <v>12</v>
      </c>
      <c r="R13">
        <v>1.4030000000000001E-2</v>
      </c>
      <c r="S13">
        <v>1E-4</v>
      </c>
      <c r="T13">
        <v>7.5691999999999999E-3</v>
      </c>
    </row>
    <row r="14" spans="1:20" x14ac:dyDescent="0.2">
      <c r="A14" t="s">
        <v>49</v>
      </c>
      <c r="B14" t="s">
        <v>32</v>
      </c>
      <c r="C14">
        <v>24</v>
      </c>
      <c r="D14">
        <v>0.98499000000000003</v>
      </c>
      <c r="E14">
        <v>1</v>
      </c>
      <c r="F14">
        <v>1</v>
      </c>
      <c r="G14">
        <v>1.5010000000000001E-2</v>
      </c>
      <c r="H14">
        <v>1E-4</v>
      </c>
      <c r="I14">
        <v>1.97E-3</v>
      </c>
      <c r="J14">
        <v>3.0019000000000001E-2</v>
      </c>
      <c r="K14">
        <v>1E-4</v>
      </c>
      <c r="L14">
        <v>6.6135999999999999E-3</v>
      </c>
      <c r="M14">
        <v>0</v>
      </c>
      <c r="N14" t="s">
        <v>22</v>
      </c>
      <c r="O14" t="s">
        <v>22</v>
      </c>
      <c r="P14" t="s">
        <v>22</v>
      </c>
      <c r="Q14">
        <v>24</v>
      </c>
      <c r="R14">
        <v>3.0019000000000001E-2</v>
      </c>
      <c r="S14">
        <v>1E-4</v>
      </c>
      <c r="T14">
        <v>7.5691999999999999E-3</v>
      </c>
    </row>
    <row r="15" spans="1:20" x14ac:dyDescent="0.2">
      <c r="A15" t="s">
        <v>49</v>
      </c>
      <c r="B15" t="s">
        <v>33</v>
      </c>
      <c r="C15">
        <v>13</v>
      </c>
      <c r="D15">
        <v>0.99599000000000004</v>
      </c>
      <c r="E15">
        <v>1</v>
      </c>
      <c r="F15">
        <v>1</v>
      </c>
      <c r="G15">
        <v>4.0067000000000002E-3</v>
      </c>
      <c r="H15">
        <v>1E-4</v>
      </c>
      <c r="I15">
        <v>1.97E-3</v>
      </c>
      <c r="J15">
        <v>8.0134000000000004E-3</v>
      </c>
      <c r="K15">
        <v>1E-4</v>
      </c>
      <c r="L15">
        <v>6.6135999999999999E-3</v>
      </c>
      <c r="M15">
        <v>0</v>
      </c>
      <c r="N15" t="s">
        <v>22</v>
      </c>
      <c r="O15" t="s">
        <v>22</v>
      </c>
      <c r="P15" t="s">
        <v>22</v>
      </c>
      <c r="Q15">
        <v>13</v>
      </c>
      <c r="R15">
        <v>8.0134000000000004E-3</v>
      </c>
      <c r="S15">
        <v>1E-4</v>
      </c>
      <c r="T15">
        <v>7.5691999999999999E-3</v>
      </c>
    </row>
    <row r="16" spans="1:20" x14ac:dyDescent="0.2">
      <c r="A16" t="s">
        <v>49</v>
      </c>
      <c r="B16" t="s">
        <v>34</v>
      </c>
      <c r="C16">
        <v>34</v>
      </c>
      <c r="D16">
        <v>2.4813000000000002E-2</v>
      </c>
      <c r="E16">
        <v>1E-4</v>
      </c>
      <c r="F16">
        <v>3.1928E-3</v>
      </c>
      <c r="G16">
        <v>0.97519</v>
      </c>
      <c r="H16">
        <v>1</v>
      </c>
      <c r="I16">
        <v>1</v>
      </c>
      <c r="J16">
        <v>4.9626000000000003E-2</v>
      </c>
      <c r="K16">
        <v>1.9997999999999999E-4</v>
      </c>
      <c r="L16">
        <v>1.0288E-2</v>
      </c>
      <c r="M16">
        <v>34</v>
      </c>
      <c r="N16">
        <v>4.9626000000000003E-2</v>
      </c>
      <c r="O16">
        <v>1E-4</v>
      </c>
      <c r="P16">
        <v>1.8058000000000001E-2</v>
      </c>
      <c r="Q16">
        <v>0</v>
      </c>
      <c r="R16" t="s">
        <v>22</v>
      </c>
      <c r="S16" t="s">
        <v>22</v>
      </c>
      <c r="T16" t="s">
        <v>22</v>
      </c>
    </row>
    <row r="17" spans="1:20" x14ac:dyDescent="0.2">
      <c r="A17" t="s">
        <v>49</v>
      </c>
      <c r="B17" t="s">
        <v>35</v>
      </c>
      <c r="C17">
        <v>12</v>
      </c>
      <c r="D17">
        <v>9.2660999999999993E-3</v>
      </c>
      <c r="E17">
        <v>1E-4</v>
      </c>
      <c r="F17">
        <v>3.1928E-3</v>
      </c>
      <c r="G17">
        <v>0.99073</v>
      </c>
      <c r="H17">
        <v>1</v>
      </c>
      <c r="I17">
        <v>1</v>
      </c>
      <c r="J17">
        <v>1.8532E-2</v>
      </c>
      <c r="K17">
        <v>1.9997999999999999E-4</v>
      </c>
      <c r="L17">
        <v>1.0288E-2</v>
      </c>
      <c r="M17">
        <v>12</v>
      </c>
      <c r="N17">
        <v>1.8532E-2</v>
      </c>
      <c r="O17">
        <v>1E-4</v>
      </c>
      <c r="P17">
        <v>1.8058000000000001E-2</v>
      </c>
      <c r="Q17">
        <v>0</v>
      </c>
      <c r="R17" t="s">
        <v>22</v>
      </c>
      <c r="S17" t="s">
        <v>22</v>
      </c>
      <c r="T17" t="s">
        <v>22</v>
      </c>
    </row>
    <row r="18" spans="1:20" x14ac:dyDescent="0.2">
      <c r="A18" t="s">
        <v>49</v>
      </c>
      <c r="B18" t="s">
        <v>36</v>
      </c>
      <c r="C18">
        <v>30</v>
      </c>
      <c r="D18">
        <v>5.2060000000000002E-2</v>
      </c>
      <c r="E18">
        <v>1E-4</v>
      </c>
      <c r="F18">
        <v>3.1928E-3</v>
      </c>
      <c r="G18">
        <v>0.94794</v>
      </c>
      <c r="H18">
        <v>1</v>
      </c>
      <c r="I18">
        <v>1</v>
      </c>
      <c r="J18">
        <v>5.7702999999999997E-2</v>
      </c>
      <c r="K18">
        <v>1.9997999999999999E-4</v>
      </c>
      <c r="L18">
        <v>1.0288E-2</v>
      </c>
      <c r="M18">
        <v>29</v>
      </c>
      <c r="N18">
        <v>4.9217999999999998E-2</v>
      </c>
      <c r="O18">
        <v>1.9997999999999999E-4</v>
      </c>
      <c r="P18">
        <v>2.0065E-2</v>
      </c>
      <c r="Q18">
        <v>1</v>
      </c>
      <c r="R18">
        <v>0.30375999999999997</v>
      </c>
      <c r="S18">
        <v>0.74522999999999995</v>
      </c>
      <c r="T18">
        <v>1</v>
      </c>
    </row>
    <row r="19" spans="1:20" x14ac:dyDescent="0.2">
      <c r="A19" t="s">
        <v>49</v>
      </c>
      <c r="B19" t="s">
        <v>37</v>
      </c>
      <c r="C19">
        <v>14</v>
      </c>
      <c r="D19">
        <v>1.3001E-2</v>
      </c>
      <c r="E19">
        <v>1E-4</v>
      </c>
      <c r="F19">
        <v>3.1928E-3</v>
      </c>
      <c r="G19">
        <v>0.98699999999999999</v>
      </c>
      <c r="H19">
        <v>1</v>
      </c>
      <c r="I19">
        <v>1</v>
      </c>
      <c r="J19">
        <v>2.6002999999999998E-2</v>
      </c>
      <c r="K19">
        <v>1.9997999999999999E-4</v>
      </c>
      <c r="L19">
        <v>1.0288E-2</v>
      </c>
      <c r="M19">
        <v>14</v>
      </c>
      <c r="N19">
        <v>2.6002999999999998E-2</v>
      </c>
      <c r="O19">
        <v>1.9997999999999999E-4</v>
      </c>
      <c r="P19">
        <v>2.0065E-2</v>
      </c>
      <c r="Q19">
        <v>0</v>
      </c>
      <c r="R19" t="s">
        <v>22</v>
      </c>
      <c r="S19" t="s">
        <v>22</v>
      </c>
      <c r="T19" t="s">
        <v>22</v>
      </c>
    </row>
    <row r="20" spans="1:20" x14ac:dyDescent="0.2">
      <c r="A20" t="s">
        <v>49</v>
      </c>
      <c r="B20" t="s">
        <v>38</v>
      </c>
      <c r="C20">
        <v>39</v>
      </c>
      <c r="D20">
        <v>7.4380000000000002E-2</v>
      </c>
      <c r="E20">
        <v>1E-4</v>
      </c>
      <c r="F20">
        <v>3.1928E-3</v>
      </c>
      <c r="G20">
        <v>0.92562</v>
      </c>
      <c r="H20">
        <v>1</v>
      </c>
      <c r="I20">
        <v>1</v>
      </c>
      <c r="J20">
        <v>7.17E-2</v>
      </c>
      <c r="K20">
        <v>2.9996999999999999E-4</v>
      </c>
      <c r="L20">
        <v>1.4619999999999999E-2</v>
      </c>
      <c r="M20">
        <v>37</v>
      </c>
      <c r="N20">
        <v>6.2134000000000002E-2</v>
      </c>
      <c r="O20">
        <v>1.9997999999999999E-4</v>
      </c>
      <c r="P20">
        <v>2.0065E-2</v>
      </c>
      <c r="Q20">
        <v>2</v>
      </c>
      <c r="R20">
        <v>0.24865999999999999</v>
      </c>
      <c r="S20">
        <v>0.65463000000000005</v>
      </c>
      <c r="T20">
        <v>1</v>
      </c>
    </row>
    <row r="21" spans="1:20" x14ac:dyDescent="0.2">
      <c r="A21" t="s">
        <v>49</v>
      </c>
      <c r="B21" t="s">
        <v>39</v>
      </c>
      <c r="C21">
        <v>7</v>
      </c>
      <c r="D21">
        <v>0.85370999999999997</v>
      </c>
      <c r="E21">
        <v>0.99909999999999999</v>
      </c>
      <c r="F21">
        <v>1</v>
      </c>
      <c r="G21">
        <v>0.14629</v>
      </c>
      <c r="H21">
        <v>9.9989999999999996E-4</v>
      </c>
      <c r="I21">
        <v>1.2684000000000001E-2</v>
      </c>
      <c r="J21">
        <v>1.5081000000000001E-2</v>
      </c>
      <c r="K21">
        <v>3.9995999999999999E-4</v>
      </c>
      <c r="L21">
        <v>1.7635999999999999E-2</v>
      </c>
      <c r="M21">
        <v>1</v>
      </c>
      <c r="N21">
        <v>2.8719000000000001E-2</v>
      </c>
      <c r="O21">
        <v>0.30457000000000001</v>
      </c>
      <c r="P21">
        <v>0.86692999999999998</v>
      </c>
      <c r="Q21">
        <v>6</v>
      </c>
      <c r="R21">
        <v>1.2807000000000001E-2</v>
      </c>
      <c r="S21">
        <v>1.4999E-3</v>
      </c>
      <c r="T21">
        <v>6.6786999999999999E-2</v>
      </c>
    </row>
    <row r="22" spans="1:20" x14ac:dyDescent="0.2">
      <c r="A22" t="s">
        <v>49</v>
      </c>
      <c r="B22" t="s">
        <v>40</v>
      </c>
      <c r="C22">
        <v>24</v>
      </c>
      <c r="D22">
        <v>0.93591000000000002</v>
      </c>
      <c r="E22">
        <v>1</v>
      </c>
      <c r="F22">
        <v>1</v>
      </c>
      <c r="G22">
        <v>6.4088000000000006E-2</v>
      </c>
      <c r="H22">
        <v>1E-4</v>
      </c>
      <c r="I22">
        <v>1.97E-3</v>
      </c>
      <c r="J22">
        <v>5.3452E-2</v>
      </c>
      <c r="K22">
        <v>3.9995999999999999E-4</v>
      </c>
      <c r="L22">
        <v>1.7635999999999999E-2</v>
      </c>
      <c r="M22">
        <v>1</v>
      </c>
      <c r="N22">
        <v>0.10331</v>
      </c>
      <c r="O22">
        <v>0.59384000000000003</v>
      </c>
      <c r="P22">
        <v>1</v>
      </c>
      <c r="Q22">
        <v>23</v>
      </c>
      <c r="R22">
        <v>5.1284000000000003E-2</v>
      </c>
      <c r="S22">
        <v>3.9995999999999999E-4</v>
      </c>
      <c r="T22">
        <v>2.5231E-2</v>
      </c>
    </row>
    <row r="23" spans="1:20" x14ac:dyDescent="0.2">
      <c r="A23" t="s">
        <v>49</v>
      </c>
      <c r="B23" t="s">
        <v>41</v>
      </c>
      <c r="C23">
        <v>5</v>
      </c>
      <c r="D23">
        <v>5.3096000000000003E-3</v>
      </c>
      <c r="E23">
        <v>1.9997999999999999E-4</v>
      </c>
      <c r="F23">
        <v>5.6115999999999996E-3</v>
      </c>
      <c r="G23">
        <v>0.99468999999999996</v>
      </c>
      <c r="H23">
        <v>0.99990000000000001</v>
      </c>
      <c r="I23">
        <v>1</v>
      </c>
      <c r="J23">
        <v>1.0619E-2</v>
      </c>
      <c r="K23">
        <v>5.9993999999999998E-4</v>
      </c>
      <c r="L23">
        <v>2.3147999999999998E-2</v>
      </c>
      <c r="M23">
        <v>5</v>
      </c>
      <c r="N23">
        <v>1.0619E-2</v>
      </c>
      <c r="O23">
        <v>4.9994999999999998E-4</v>
      </c>
      <c r="P23">
        <v>4.5144999999999998E-2</v>
      </c>
      <c r="Q23">
        <v>0</v>
      </c>
      <c r="R23" t="s">
        <v>22</v>
      </c>
      <c r="S23" t="s">
        <v>22</v>
      </c>
      <c r="T23" t="s">
        <v>22</v>
      </c>
    </row>
    <row r="24" spans="1:20" x14ac:dyDescent="0.2">
      <c r="A24" t="s">
        <v>49</v>
      </c>
      <c r="B24" t="s">
        <v>42</v>
      </c>
      <c r="C24">
        <v>5</v>
      </c>
      <c r="D24">
        <v>0.79615000000000002</v>
      </c>
      <c r="E24">
        <v>0.9929</v>
      </c>
      <c r="F24">
        <v>1</v>
      </c>
      <c r="G24">
        <v>0.20385</v>
      </c>
      <c r="H24">
        <v>7.1992999999999996E-3</v>
      </c>
      <c r="I24">
        <v>5.7970000000000001E-2</v>
      </c>
      <c r="J24">
        <v>1.0782E-2</v>
      </c>
      <c r="K24">
        <v>5.9993999999999998E-4</v>
      </c>
      <c r="L24">
        <v>2.3147999999999998E-2</v>
      </c>
      <c r="M24">
        <v>1</v>
      </c>
      <c r="N24">
        <v>7.6987999999999996E-3</v>
      </c>
      <c r="O24">
        <v>8.2392000000000007E-2</v>
      </c>
      <c r="P24">
        <v>0.57508000000000004</v>
      </c>
      <c r="Q24">
        <v>4</v>
      </c>
      <c r="R24">
        <v>1.1553000000000001E-2</v>
      </c>
      <c r="S24">
        <v>8.0992000000000008E-3</v>
      </c>
      <c r="T24">
        <v>0.25036999999999998</v>
      </c>
    </row>
    <row r="25" spans="1:20" x14ac:dyDescent="0.2">
      <c r="A25" t="s">
        <v>49</v>
      </c>
      <c r="B25" t="s">
        <v>43</v>
      </c>
      <c r="C25">
        <v>11</v>
      </c>
      <c r="D25">
        <v>0.72504999999999997</v>
      </c>
      <c r="E25">
        <v>0.99919999999999998</v>
      </c>
      <c r="F25">
        <v>1</v>
      </c>
      <c r="G25">
        <v>0.27495000000000003</v>
      </c>
      <c r="H25">
        <v>8.9990999999999997E-4</v>
      </c>
      <c r="I25">
        <v>1.1573999999999999E-2</v>
      </c>
      <c r="J25">
        <v>2.5127E-2</v>
      </c>
      <c r="K25">
        <v>5.9993999999999998E-4</v>
      </c>
      <c r="L25">
        <v>2.3147999999999998E-2</v>
      </c>
      <c r="M25">
        <v>3</v>
      </c>
      <c r="N25">
        <v>3.7923999999999999E-2</v>
      </c>
      <c r="O25">
        <v>0.11779000000000001</v>
      </c>
      <c r="P25">
        <v>0.68776999999999999</v>
      </c>
      <c r="Q25">
        <v>8</v>
      </c>
      <c r="R25">
        <v>2.0327999999999999E-2</v>
      </c>
      <c r="S25">
        <v>2.5996999999999999E-3</v>
      </c>
      <c r="T25">
        <v>0.10933</v>
      </c>
    </row>
    <row r="26" spans="1:20" x14ac:dyDescent="0.2">
      <c r="A26" t="s">
        <v>49</v>
      </c>
      <c r="B26" t="s">
        <v>44</v>
      </c>
      <c r="C26">
        <v>17</v>
      </c>
      <c r="D26">
        <v>0.35324</v>
      </c>
      <c r="E26">
        <v>0.52995000000000003</v>
      </c>
      <c r="F26">
        <v>0.86477999999999999</v>
      </c>
      <c r="G26">
        <v>0.64676</v>
      </c>
      <c r="H26">
        <v>0.47015000000000001</v>
      </c>
      <c r="I26">
        <v>1</v>
      </c>
      <c r="J26">
        <v>3.7122000000000002E-2</v>
      </c>
      <c r="K26">
        <v>7.9991999999999997E-4</v>
      </c>
      <c r="L26">
        <v>2.9628999999999999E-2</v>
      </c>
      <c r="M26">
        <v>11</v>
      </c>
      <c r="N26">
        <v>2.9145999999999998E-2</v>
      </c>
      <c r="O26">
        <v>1.0999E-3</v>
      </c>
      <c r="P26">
        <v>7.0943000000000006E-2</v>
      </c>
      <c r="Q26">
        <v>6</v>
      </c>
      <c r="R26">
        <v>5.1744999999999999E-2</v>
      </c>
      <c r="S26">
        <v>6.3194E-2</v>
      </c>
      <c r="T26">
        <v>0.75226999999999999</v>
      </c>
    </row>
    <row r="27" spans="1:20" x14ac:dyDescent="0.2">
      <c r="A27" t="s">
        <v>49</v>
      </c>
      <c r="B27" t="s">
        <v>45</v>
      </c>
      <c r="C27">
        <v>7</v>
      </c>
      <c r="D27">
        <v>8.0642999999999999E-3</v>
      </c>
      <c r="E27">
        <v>1E-4</v>
      </c>
      <c r="F27">
        <v>3.1928E-3</v>
      </c>
      <c r="G27">
        <v>0.99194000000000004</v>
      </c>
      <c r="H27">
        <v>1</v>
      </c>
      <c r="I27">
        <v>1</v>
      </c>
      <c r="J27">
        <v>1.6129000000000001E-2</v>
      </c>
      <c r="K27">
        <v>8.9990999999999997E-4</v>
      </c>
      <c r="L27">
        <v>3.2051000000000003E-2</v>
      </c>
      <c r="M27">
        <v>7</v>
      </c>
      <c r="N27">
        <v>1.6129000000000001E-2</v>
      </c>
      <c r="O27">
        <v>6.9992999999999997E-4</v>
      </c>
      <c r="P27">
        <v>5.2670000000000002E-2</v>
      </c>
      <c r="Q27">
        <v>0</v>
      </c>
      <c r="R27" t="s">
        <v>22</v>
      </c>
      <c r="S27" t="s">
        <v>22</v>
      </c>
      <c r="T27" t="s">
        <v>22</v>
      </c>
    </row>
    <row r="28" spans="1:20" x14ac:dyDescent="0.2">
      <c r="A28" t="s">
        <v>49</v>
      </c>
      <c r="B28" t="s">
        <v>46</v>
      </c>
      <c r="C28">
        <v>11</v>
      </c>
      <c r="D28">
        <v>0.72709000000000001</v>
      </c>
      <c r="E28">
        <v>0.99919999999999998</v>
      </c>
      <c r="F28">
        <v>1</v>
      </c>
      <c r="G28">
        <v>0.27290999999999999</v>
      </c>
      <c r="H28">
        <v>8.9990999999999997E-4</v>
      </c>
      <c r="I28">
        <v>1.1573999999999999E-2</v>
      </c>
      <c r="J28">
        <v>3.0152999999999999E-2</v>
      </c>
      <c r="K28">
        <v>1.3998999999999999E-3</v>
      </c>
      <c r="L28">
        <v>4.8009999999999997E-2</v>
      </c>
      <c r="M28">
        <v>3</v>
      </c>
      <c r="N28">
        <v>5.4628000000000003E-2</v>
      </c>
      <c r="O28">
        <v>0.19667999999999999</v>
      </c>
      <c r="P28">
        <v>0.80157</v>
      </c>
      <c r="Q28">
        <v>8</v>
      </c>
      <c r="R28">
        <v>2.0974E-2</v>
      </c>
      <c r="S28">
        <v>2.8996999999999998E-3</v>
      </c>
      <c r="T28">
        <v>0.11552999999999999</v>
      </c>
    </row>
    <row r="29" spans="1:20" x14ac:dyDescent="0.2">
      <c r="A29" t="s">
        <v>49</v>
      </c>
      <c r="B29" t="s">
        <v>47</v>
      </c>
      <c r="C29">
        <v>37</v>
      </c>
      <c r="D29">
        <v>0.84421000000000002</v>
      </c>
      <c r="E29">
        <v>1</v>
      </c>
      <c r="F29">
        <v>1</v>
      </c>
      <c r="G29">
        <v>0.15579000000000001</v>
      </c>
      <c r="H29">
        <v>1E-4</v>
      </c>
      <c r="I29">
        <v>1.97E-3</v>
      </c>
      <c r="J29">
        <v>7.9256999999999994E-2</v>
      </c>
      <c r="K29">
        <v>1.4999E-3</v>
      </c>
      <c r="L29">
        <v>4.9602E-2</v>
      </c>
      <c r="M29">
        <v>5</v>
      </c>
      <c r="N29">
        <v>0.14043</v>
      </c>
      <c r="O29">
        <v>0.47025</v>
      </c>
      <c r="P29">
        <v>0.93645</v>
      </c>
      <c r="Q29">
        <v>32</v>
      </c>
      <c r="R29">
        <v>6.9697999999999996E-2</v>
      </c>
      <c r="S29">
        <v>5.9993999999999998E-4</v>
      </c>
      <c r="T29">
        <v>2.8385000000000001E-2</v>
      </c>
    </row>
    <row r="30" spans="1:20" x14ac:dyDescent="0.2">
      <c r="A30" t="s">
        <v>57</v>
      </c>
      <c r="B30" t="s">
        <v>27</v>
      </c>
      <c r="C30">
        <v>188</v>
      </c>
      <c r="D30">
        <v>0.93401000000000001</v>
      </c>
      <c r="E30">
        <v>1</v>
      </c>
      <c r="F30">
        <v>1</v>
      </c>
      <c r="G30">
        <v>6.5986000000000003E-2</v>
      </c>
      <c r="H30">
        <v>1E-4</v>
      </c>
      <c r="I30">
        <v>1.8787000000000001E-3</v>
      </c>
      <c r="J30">
        <v>7.1994000000000002E-2</v>
      </c>
      <c r="K30">
        <v>1E-4</v>
      </c>
      <c r="L30">
        <v>8.8809000000000006E-3</v>
      </c>
      <c r="M30">
        <v>9</v>
      </c>
      <c r="N30">
        <v>0.37358000000000002</v>
      </c>
      <c r="O30">
        <v>0.98160000000000003</v>
      </c>
      <c r="P30">
        <v>1</v>
      </c>
      <c r="Q30">
        <v>179</v>
      </c>
      <c r="R30">
        <v>5.6831E-2</v>
      </c>
      <c r="S30">
        <v>1E-4</v>
      </c>
      <c r="T30">
        <v>5.8279999999999998E-3</v>
      </c>
    </row>
    <row r="31" spans="1:20" x14ac:dyDescent="0.2">
      <c r="A31" t="s">
        <v>57</v>
      </c>
      <c r="B31" t="s">
        <v>26</v>
      </c>
      <c r="C31">
        <v>140</v>
      </c>
      <c r="D31">
        <v>0.96238000000000001</v>
      </c>
      <c r="E31">
        <v>1</v>
      </c>
      <c r="F31">
        <v>1</v>
      </c>
      <c r="G31">
        <v>3.7617999999999999E-2</v>
      </c>
      <c r="H31">
        <v>1E-4</v>
      </c>
      <c r="I31">
        <v>1.8787000000000001E-3</v>
      </c>
      <c r="J31">
        <v>4.6106000000000001E-2</v>
      </c>
      <c r="K31">
        <v>1E-4</v>
      </c>
      <c r="L31">
        <v>8.8809000000000006E-3</v>
      </c>
      <c r="M31">
        <v>3</v>
      </c>
      <c r="N31">
        <v>0.32029000000000002</v>
      </c>
      <c r="O31">
        <v>0.82372000000000001</v>
      </c>
      <c r="P31">
        <v>1</v>
      </c>
      <c r="Q31">
        <v>137</v>
      </c>
      <c r="R31">
        <v>4.0101999999999999E-2</v>
      </c>
      <c r="S31">
        <v>1E-4</v>
      </c>
      <c r="T31">
        <v>5.8279999999999998E-3</v>
      </c>
    </row>
    <row r="32" spans="1:20" x14ac:dyDescent="0.2">
      <c r="A32" t="s">
        <v>57</v>
      </c>
      <c r="B32" t="s">
        <v>25</v>
      </c>
      <c r="C32">
        <v>136</v>
      </c>
      <c r="D32">
        <v>0.95486000000000004</v>
      </c>
      <c r="E32">
        <v>1</v>
      </c>
      <c r="F32">
        <v>1</v>
      </c>
      <c r="G32">
        <v>4.5137999999999998E-2</v>
      </c>
      <c r="H32">
        <v>1E-4</v>
      </c>
      <c r="I32">
        <v>1.8787000000000001E-3</v>
      </c>
      <c r="J32">
        <v>4.7211999999999997E-2</v>
      </c>
      <c r="K32">
        <v>1E-4</v>
      </c>
      <c r="L32">
        <v>8.8809000000000006E-3</v>
      </c>
      <c r="M32">
        <v>4</v>
      </c>
      <c r="N32">
        <v>0.26790000000000003</v>
      </c>
      <c r="O32">
        <v>0.74853000000000003</v>
      </c>
      <c r="P32">
        <v>1</v>
      </c>
      <c r="Q32">
        <v>132</v>
      </c>
      <c r="R32">
        <v>4.0523999999999998E-2</v>
      </c>
      <c r="S32">
        <v>1E-4</v>
      </c>
      <c r="T32">
        <v>5.8279999999999998E-3</v>
      </c>
    </row>
    <row r="33" spans="1:20" x14ac:dyDescent="0.2">
      <c r="A33" t="s">
        <v>57</v>
      </c>
      <c r="B33" t="s">
        <v>30</v>
      </c>
      <c r="C33">
        <v>33</v>
      </c>
      <c r="D33">
        <v>0.98607</v>
      </c>
      <c r="E33">
        <v>1</v>
      </c>
      <c r="F33">
        <v>1</v>
      </c>
      <c r="G33">
        <v>1.3927999999999999E-2</v>
      </c>
      <c r="H33">
        <v>1E-4</v>
      </c>
      <c r="I33">
        <v>1.8787000000000001E-3</v>
      </c>
      <c r="J33">
        <v>2.7855999999999999E-2</v>
      </c>
      <c r="K33">
        <v>1E-4</v>
      </c>
      <c r="L33">
        <v>8.8809000000000006E-3</v>
      </c>
      <c r="M33">
        <v>0</v>
      </c>
      <c r="N33" t="s">
        <v>22</v>
      </c>
      <c r="O33" t="s">
        <v>22</v>
      </c>
      <c r="P33" t="s">
        <v>22</v>
      </c>
      <c r="Q33">
        <v>33</v>
      </c>
      <c r="R33">
        <v>2.7855999999999999E-2</v>
      </c>
      <c r="S33">
        <v>1E-4</v>
      </c>
      <c r="T33">
        <v>5.8279999999999998E-3</v>
      </c>
    </row>
    <row r="34" spans="1:20" x14ac:dyDescent="0.2">
      <c r="A34" t="s">
        <v>57</v>
      </c>
      <c r="B34" t="s">
        <v>28</v>
      </c>
      <c r="C34">
        <v>176</v>
      </c>
      <c r="D34">
        <v>0.81821999999999995</v>
      </c>
      <c r="E34">
        <v>1</v>
      </c>
      <c r="F34">
        <v>1</v>
      </c>
      <c r="G34">
        <v>0.18178</v>
      </c>
      <c r="H34">
        <v>1E-4</v>
      </c>
      <c r="I34">
        <v>1.8787000000000001E-3</v>
      </c>
      <c r="J34">
        <v>0.11065</v>
      </c>
      <c r="K34">
        <v>1E-4</v>
      </c>
      <c r="L34">
        <v>8.8809000000000006E-3</v>
      </c>
      <c r="M34">
        <v>30</v>
      </c>
      <c r="N34">
        <v>0.2581</v>
      </c>
      <c r="O34">
        <v>0.91991000000000001</v>
      </c>
      <c r="P34">
        <v>1</v>
      </c>
      <c r="Q34">
        <v>146</v>
      </c>
      <c r="R34">
        <v>8.0350000000000005E-2</v>
      </c>
      <c r="S34">
        <v>1E-4</v>
      </c>
      <c r="T34">
        <v>5.8279999999999998E-3</v>
      </c>
    </row>
    <row r="35" spans="1:20" x14ac:dyDescent="0.2">
      <c r="A35" t="s">
        <v>57</v>
      </c>
      <c r="B35" t="s">
        <v>31</v>
      </c>
      <c r="C35">
        <v>13</v>
      </c>
      <c r="D35">
        <v>0.98802000000000001</v>
      </c>
      <c r="E35">
        <v>1</v>
      </c>
      <c r="F35">
        <v>1</v>
      </c>
      <c r="G35">
        <v>1.1982E-2</v>
      </c>
      <c r="H35">
        <v>1E-4</v>
      </c>
      <c r="I35">
        <v>1.8787000000000001E-3</v>
      </c>
      <c r="J35">
        <v>2.3963999999999999E-2</v>
      </c>
      <c r="K35">
        <v>1E-4</v>
      </c>
      <c r="L35">
        <v>8.8809000000000006E-3</v>
      </c>
      <c r="M35">
        <v>0</v>
      </c>
      <c r="N35" t="s">
        <v>22</v>
      </c>
      <c r="O35" t="s">
        <v>22</v>
      </c>
      <c r="P35" t="s">
        <v>22</v>
      </c>
      <c r="Q35">
        <v>13</v>
      </c>
      <c r="R35">
        <v>2.3963999999999999E-2</v>
      </c>
      <c r="S35">
        <v>1E-4</v>
      </c>
      <c r="T35">
        <v>5.8279999999999998E-3</v>
      </c>
    </row>
    <row r="36" spans="1:20" x14ac:dyDescent="0.2">
      <c r="A36" t="s">
        <v>57</v>
      </c>
      <c r="B36" t="s">
        <v>32</v>
      </c>
      <c r="C36">
        <v>28</v>
      </c>
      <c r="D36">
        <v>0.97362000000000004</v>
      </c>
      <c r="E36">
        <v>1</v>
      </c>
      <c r="F36">
        <v>1</v>
      </c>
      <c r="G36">
        <v>2.6383E-2</v>
      </c>
      <c r="H36">
        <v>1E-4</v>
      </c>
      <c r="I36">
        <v>1.8787000000000001E-3</v>
      </c>
      <c r="J36">
        <v>5.2764999999999999E-2</v>
      </c>
      <c r="K36">
        <v>1E-4</v>
      </c>
      <c r="L36">
        <v>8.8809000000000006E-3</v>
      </c>
      <c r="M36">
        <v>0</v>
      </c>
      <c r="N36" t="s">
        <v>22</v>
      </c>
      <c r="O36" t="s">
        <v>22</v>
      </c>
      <c r="P36" t="s">
        <v>22</v>
      </c>
      <c r="Q36">
        <v>28</v>
      </c>
      <c r="R36">
        <v>5.2764999999999999E-2</v>
      </c>
      <c r="S36">
        <v>1E-4</v>
      </c>
      <c r="T36">
        <v>5.8279999999999998E-3</v>
      </c>
    </row>
    <row r="37" spans="1:20" x14ac:dyDescent="0.2">
      <c r="A37" t="s">
        <v>57</v>
      </c>
      <c r="B37" t="s">
        <v>33</v>
      </c>
      <c r="C37">
        <v>19</v>
      </c>
      <c r="D37">
        <v>0.98592999999999997</v>
      </c>
      <c r="E37">
        <v>1</v>
      </c>
      <c r="F37">
        <v>1</v>
      </c>
      <c r="G37">
        <v>1.4068000000000001E-2</v>
      </c>
      <c r="H37">
        <v>1E-4</v>
      </c>
      <c r="I37">
        <v>1.8787000000000001E-3</v>
      </c>
      <c r="J37">
        <v>2.8136000000000001E-2</v>
      </c>
      <c r="K37">
        <v>1E-4</v>
      </c>
      <c r="L37">
        <v>8.8809000000000006E-3</v>
      </c>
      <c r="M37">
        <v>0</v>
      </c>
      <c r="N37" t="s">
        <v>22</v>
      </c>
      <c r="O37" t="s">
        <v>22</v>
      </c>
      <c r="P37" t="s">
        <v>22</v>
      </c>
      <c r="Q37">
        <v>19</v>
      </c>
      <c r="R37">
        <v>2.8136000000000001E-2</v>
      </c>
      <c r="S37">
        <v>1E-4</v>
      </c>
      <c r="T37">
        <v>5.8279999999999998E-3</v>
      </c>
    </row>
    <row r="38" spans="1:20" x14ac:dyDescent="0.2">
      <c r="A38" t="s">
        <v>57</v>
      </c>
      <c r="B38" t="s">
        <v>23</v>
      </c>
      <c r="C38">
        <v>29</v>
      </c>
      <c r="D38">
        <v>0.95233999999999996</v>
      </c>
      <c r="E38">
        <v>1</v>
      </c>
      <c r="F38">
        <v>1</v>
      </c>
      <c r="G38">
        <v>4.7657999999999999E-2</v>
      </c>
      <c r="H38">
        <v>1E-4</v>
      </c>
      <c r="I38">
        <v>1.8787000000000001E-3</v>
      </c>
      <c r="J38">
        <v>2.7359000000000001E-2</v>
      </c>
      <c r="K38">
        <v>1E-4</v>
      </c>
      <c r="L38">
        <v>8.8809000000000006E-3</v>
      </c>
      <c r="M38">
        <v>1</v>
      </c>
      <c r="N38">
        <v>1.4626E-2</v>
      </c>
      <c r="O38">
        <v>9.1891E-2</v>
      </c>
      <c r="P38">
        <v>0.50866</v>
      </c>
      <c r="Q38">
        <v>28</v>
      </c>
      <c r="R38">
        <v>2.7813999999999998E-2</v>
      </c>
      <c r="S38">
        <v>1E-4</v>
      </c>
      <c r="T38">
        <v>5.8279999999999998E-3</v>
      </c>
    </row>
    <row r="39" spans="1:20" x14ac:dyDescent="0.2">
      <c r="A39" t="s">
        <v>57</v>
      </c>
      <c r="B39" t="s">
        <v>50</v>
      </c>
      <c r="C39">
        <v>18</v>
      </c>
      <c r="D39">
        <v>0.76680999999999999</v>
      </c>
      <c r="E39">
        <v>1</v>
      </c>
      <c r="F39">
        <v>1</v>
      </c>
      <c r="G39">
        <v>0.23319000000000001</v>
      </c>
      <c r="H39">
        <v>1E-4</v>
      </c>
      <c r="I39">
        <v>1.8787000000000001E-3</v>
      </c>
      <c r="J39">
        <v>4.6674E-2</v>
      </c>
      <c r="K39">
        <v>1E-4</v>
      </c>
      <c r="L39">
        <v>8.8809000000000006E-3</v>
      </c>
      <c r="M39">
        <v>4</v>
      </c>
      <c r="N39">
        <v>5.5664999999999999E-2</v>
      </c>
      <c r="O39">
        <v>3.4097000000000002E-2</v>
      </c>
      <c r="P39">
        <v>0.36357</v>
      </c>
      <c r="Q39">
        <v>14</v>
      </c>
      <c r="R39">
        <v>4.4104999999999998E-2</v>
      </c>
      <c r="S39">
        <v>3.9995999999999999E-4</v>
      </c>
      <c r="T39">
        <v>1.8131999999999999E-2</v>
      </c>
    </row>
    <row r="40" spans="1:20" x14ac:dyDescent="0.2">
      <c r="A40" t="s">
        <v>57</v>
      </c>
      <c r="B40" t="s">
        <v>51</v>
      </c>
      <c r="C40">
        <v>11</v>
      </c>
      <c r="D40">
        <v>0.98204999999999998</v>
      </c>
      <c r="E40">
        <v>1</v>
      </c>
      <c r="F40">
        <v>1</v>
      </c>
      <c r="G40">
        <v>1.7953E-2</v>
      </c>
      <c r="H40">
        <v>1E-4</v>
      </c>
      <c r="I40">
        <v>1.8787000000000001E-3</v>
      </c>
      <c r="J40">
        <v>3.5906E-2</v>
      </c>
      <c r="K40">
        <v>1E-4</v>
      </c>
      <c r="L40">
        <v>8.8809000000000006E-3</v>
      </c>
      <c r="M40">
        <v>0</v>
      </c>
      <c r="N40" t="s">
        <v>22</v>
      </c>
      <c r="O40" t="s">
        <v>22</v>
      </c>
      <c r="P40" t="s">
        <v>22</v>
      </c>
      <c r="Q40">
        <v>11</v>
      </c>
      <c r="R40">
        <v>3.5906E-2</v>
      </c>
      <c r="S40">
        <v>1E-4</v>
      </c>
      <c r="T40">
        <v>5.8279999999999998E-3</v>
      </c>
    </row>
    <row r="41" spans="1:20" x14ac:dyDescent="0.2">
      <c r="A41" t="s">
        <v>57</v>
      </c>
      <c r="B41" t="s">
        <v>47</v>
      </c>
      <c r="C41">
        <v>38</v>
      </c>
      <c r="D41">
        <v>0.85535000000000005</v>
      </c>
      <c r="E41">
        <v>1</v>
      </c>
      <c r="F41">
        <v>1</v>
      </c>
      <c r="G41">
        <v>0.14465</v>
      </c>
      <c r="H41">
        <v>1E-4</v>
      </c>
      <c r="I41">
        <v>1.8787000000000001E-3</v>
      </c>
      <c r="J41">
        <v>9.3090999999999993E-2</v>
      </c>
      <c r="K41">
        <v>1.9997999999999999E-4</v>
      </c>
      <c r="L41">
        <v>1.3956E-2</v>
      </c>
      <c r="M41">
        <v>5</v>
      </c>
      <c r="N41">
        <v>0.25442999999999999</v>
      </c>
      <c r="O41">
        <v>0.72363</v>
      </c>
      <c r="P41">
        <v>1</v>
      </c>
      <c r="Q41">
        <v>33</v>
      </c>
      <c r="R41">
        <v>6.8645999999999999E-2</v>
      </c>
      <c r="S41">
        <v>1E-4</v>
      </c>
      <c r="T41">
        <v>5.8279999999999998E-3</v>
      </c>
    </row>
    <row r="42" spans="1:20" x14ac:dyDescent="0.2">
      <c r="A42" t="s">
        <v>57</v>
      </c>
      <c r="B42" t="s">
        <v>34</v>
      </c>
      <c r="C42">
        <v>34</v>
      </c>
      <c r="D42">
        <v>4.2644000000000001E-2</v>
      </c>
      <c r="E42">
        <v>1E-4</v>
      </c>
      <c r="F42">
        <v>3.4889000000000001E-3</v>
      </c>
      <c r="G42">
        <v>0.95735999999999999</v>
      </c>
      <c r="H42">
        <v>1</v>
      </c>
      <c r="I42">
        <v>1</v>
      </c>
      <c r="J42">
        <v>8.5287000000000002E-2</v>
      </c>
      <c r="K42">
        <v>1.9997999999999999E-4</v>
      </c>
      <c r="L42">
        <v>1.3956E-2</v>
      </c>
      <c r="M42">
        <v>34</v>
      </c>
      <c r="N42">
        <v>8.5287000000000002E-2</v>
      </c>
      <c r="O42">
        <v>1E-4</v>
      </c>
      <c r="P42">
        <v>1.8977999999999998E-2</v>
      </c>
      <c r="Q42">
        <v>0</v>
      </c>
      <c r="R42" t="s">
        <v>22</v>
      </c>
      <c r="S42" t="s">
        <v>22</v>
      </c>
      <c r="T42" t="s">
        <v>22</v>
      </c>
    </row>
    <row r="43" spans="1:20" x14ac:dyDescent="0.2">
      <c r="A43" t="s">
        <v>57</v>
      </c>
      <c r="B43" t="s">
        <v>24</v>
      </c>
      <c r="C43">
        <v>13</v>
      </c>
      <c r="D43">
        <v>0.76248000000000005</v>
      </c>
      <c r="E43">
        <v>0.99939999999999996</v>
      </c>
      <c r="F43">
        <v>1</v>
      </c>
      <c r="G43">
        <v>0.23752000000000001</v>
      </c>
      <c r="H43">
        <v>6.9992999999999997E-4</v>
      </c>
      <c r="I43">
        <v>9.6314E-3</v>
      </c>
      <c r="J43">
        <v>4.2429000000000001E-2</v>
      </c>
      <c r="K43">
        <v>1.9997999999999999E-4</v>
      </c>
      <c r="L43">
        <v>1.3956E-2</v>
      </c>
      <c r="M43">
        <v>3</v>
      </c>
      <c r="N43">
        <v>6.2669000000000002E-2</v>
      </c>
      <c r="O43">
        <v>8.1192E-2</v>
      </c>
      <c r="P43">
        <v>0.48638999999999999</v>
      </c>
      <c r="Q43">
        <v>10</v>
      </c>
      <c r="R43">
        <v>3.6357E-2</v>
      </c>
      <c r="S43">
        <v>8.9990999999999997E-4</v>
      </c>
      <c r="T43">
        <v>3.4967999999999999E-2</v>
      </c>
    </row>
    <row r="44" spans="1:20" x14ac:dyDescent="0.2">
      <c r="A44" t="s">
        <v>57</v>
      </c>
      <c r="B44" t="s">
        <v>52</v>
      </c>
      <c r="C44">
        <v>163</v>
      </c>
      <c r="D44">
        <v>0.22008</v>
      </c>
      <c r="E44">
        <v>1E-4</v>
      </c>
      <c r="F44">
        <v>3.4889000000000001E-3</v>
      </c>
      <c r="G44">
        <v>0.77991999999999995</v>
      </c>
      <c r="H44">
        <v>1</v>
      </c>
      <c r="I44">
        <v>1</v>
      </c>
      <c r="J44">
        <v>0.15006</v>
      </c>
      <c r="K44">
        <v>2.9996999999999999E-4</v>
      </c>
      <c r="L44">
        <v>1.5424999999999999E-2</v>
      </c>
      <c r="M44">
        <v>133</v>
      </c>
      <c r="N44">
        <v>0.13611000000000001</v>
      </c>
      <c r="O44">
        <v>1E-4</v>
      </c>
      <c r="P44">
        <v>1.8977999999999998E-2</v>
      </c>
      <c r="Q44">
        <v>30</v>
      </c>
      <c r="R44">
        <v>0.21190000000000001</v>
      </c>
      <c r="S44">
        <v>0.45974999999999999</v>
      </c>
      <c r="T44">
        <v>1</v>
      </c>
    </row>
    <row r="45" spans="1:20" x14ac:dyDescent="0.2">
      <c r="A45" t="s">
        <v>57</v>
      </c>
      <c r="B45" t="s">
        <v>53</v>
      </c>
      <c r="C45">
        <v>36</v>
      </c>
      <c r="D45">
        <v>0.90032999999999996</v>
      </c>
      <c r="E45">
        <v>1</v>
      </c>
      <c r="F45">
        <v>1</v>
      </c>
      <c r="G45">
        <v>9.9666000000000005E-2</v>
      </c>
      <c r="H45">
        <v>1E-4</v>
      </c>
      <c r="I45">
        <v>1.8787000000000001E-3</v>
      </c>
      <c r="J45">
        <v>9.3186000000000005E-2</v>
      </c>
      <c r="K45">
        <v>2.9996999999999999E-4</v>
      </c>
      <c r="L45">
        <v>1.5424999999999999E-2</v>
      </c>
      <c r="M45">
        <v>3</v>
      </c>
      <c r="N45">
        <v>0.36312</v>
      </c>
      <c r="O45">
        <v>0.88741000000000003</v>
      </c>
      <c r="P45">
        <v>1</v>
      </c>
      <c r="Q45">
        <v>33</v>
      </c>
      <c r="R45">
        <v>6.8645999999999999E-2</v>
      </c>
      <c r="S45">
        <v>1E-4</v>
      </c>
      <c r="T45">
        <v>5.8279999999999998E-3</v>
      </c>
    </row>
    <row r="46" spans="1:20" x14ac:dyDescent="0.2">
      <c r="A46" t="s">
        <v>57</v>
      </c>
      <c r="B46" t="s">
        <v>29</v>
      </c>
      <c r="C46">
        <v>44</v>
      </c>
      <c r="D46">
        <v>0.94149000000000005</v>
      </c>
      <c r="E46">
        <v>1</v>
      </c>
      <c r="F46">
        <v>1</v>
      </c>
      <c r="G46">
        <v>5.851E-2</v>
      </c>
      <c r="H46">
        <v>1E-4</v>
      </c>
      <c r="I46">
        <v>1.8787000000000001E-3</v>
      </c>
      <c r="J46">
        <v>0.10025000000000001</v>
      </c>
      <c r="K46">
        <v>2.9996999999999999E-4</v>
      </c>
      <c r="L46">
        <v>1.5424999999999999E-2</v>
      </c>
      <c r="M46">
        <v>1</v>
      </c>
      <c r="N46">
        <v>0.63109999999999999</v>
      </c>
      <c r="O46">
        <v>0.93091000000000002</v>
      </c>
      <c r="P46">
        <v>1</v>
      </c>
      <c r="Q46">
        <v>43</v>
      </c>
      <c r="R46">
        <v>8.7905999999999998E-2</v>
      </c>
      <c r="S46">
        <v>1E-4</v>
      </c>
      <c r="T46">
        <v>5.8279999999999998E-3</v>
      </c>
    </row>
    <row r="47" spans="1:20" x14ac:dyDescent="0.2">
      <c r="A47" t="s">
        <v>57</v>
      </c>
      <c r="B47" t="s">
        <v>44</v>
      </c>
      <c r="C47">
        <v>17</v>
      </c>
      <c r="D47">
        <v>0.36831000000000003</v>
      </c>
      <c r="E47">
        <v>0.49145</v>
      </c>
      <c r="F47">
        <v>0.84236</v>
      </c>
      <c r="G47">
        <v>0.63168999999999997</v>
      </c>
      <c r="H47">
        <v>0.50865000000000005</v>
      </c>
      <c r="I47">
        <v>1</v>
      </c>
      <c r="J47">
        <v>6.5549999999999997E-2</v>
      </c>
      <c r="K47">
        <v>2.9996999999999999E-4</v>
      </c>
      <c r="L47">
        <v>1.5424999999999999E-2</v>
      </c>
      <c r="M47">
        <v>11</v>
      </c>
      <c r="N47">
        <v>7.4410000000000004E-2</v>
      </c>
      <c r="O47">
        <v>6.0993999999999996E-3</v>
      </c>
      <c r="P47">
        <v>0.18682000000000001</v>
      </c>
      <c r="Q47">
        <v>6</v>
      </c>
      <c r="R47">
        <v>4.9307999999999998E-2</v>
      </c>
      <c r="S47">
        <v>2.5097000000000001E-2</v>
      </c>
      <c r="T47">
        <v>0.37680999999999998</v>
      </c>
    </row>
    <row r="48" spans="1:20" x14ac:dyDescent="0.2">
      <c r="A48" t="s">
        <v>57</v>
      </c>
      <c r="B48" t="s">
        <v>43</v>
      </c>
      <c r="C48">
        <v>11</v>
      </c>
      <c r="D48">
        <v>0.73358000000000001</v>
      </c>
      <c r="E48">
        <v>0.99880000000000002</v>
      </c>
      <c r="F48">
        <v>1</v>
      </c>
      <c r="G48">
        <v>0.26641999999999999</v>
      </c>
      <c r="H48">
        <v>1.2999000000000001E-3</v>
      </c>
      <c r="I48">
        <v>1.5487000000000001E-2</v>
      </c>
      <c r="J48">
        <v>4.6420999999999997E-2</v>
      </c>
      <c r="K48">
        <v>2.9996999999999999E-4</v>
      </c>
      <c r="L48">
        <v>1.5424999999999999E-2</v>
      </c>
      <c r="M48">
        <v>3</v>
      </c>
      <c r="N48">
        <v>0.10824</v>
      </c>
      <c r="O48">
        <v>0.25357000000000002</v>
      </c>
      <c r="P48">
        <v>0.71962999999999999</v>
      </c>
      <c r="Q48">
        <v>8</v>
      </c>
      <c r="R48">
        <v>2.324E-2</v>
      </c>
      <c r="S48">
        <v>2.9996999999999999E-4</v>
      </c>
      <c r="T48">
        <v>1.5298000000000001E-2</v>
      </c>
    </row>
    <row r="49" spans="1:20" x14ac:dyDescent="0.2">
      <c r="A49" t="s">
        <v>57</v>
      </c>
      <c r="B49" t="s">
        <v>54</v>
      </c>
      <c r="C49">
        <v>16</v>
      </c>
      <c r="D49">
        <v>0.80579000000000001</v>
      </c>
      <c r="E49">
        <v>1</v>
      </c>
      <c r="F49">
        <v>1</v>
      </c>
      <c r="G49">
        <v>0.19420999999999999</v>
      </c>
      <c r="H49">
        <v>1E-4</v>
      </c>
      <c r="I49">
        <v>1.8787000000000001E-3</v>
      </c>
      <c r="J49">
        <v>5.9365000000000001E-2</v>
      </c>
      <c r="K49">
        <v>5.9993999999999998E-4</v>
      </c>
      <c r="L49">
        <v>2.9307E-2</v>
      </c>
      <c r="M49">
        <v>3</v>
      </c>
      <c r="N49">
        <v>0.1225</v>
      </c>
      <c r="O49">
        <v>0.31397000000000003</v>
      </c>
      <c r="P49">
        <v>0.77993999999999997</v>
      </c>
      <c r="Q49">
        <v>13</v>
      </c>
      <c r="R49">
        <v>4.4795000000000001E-2</v>
      </c>
      <c r="S49">
        <v>2.9996999999999999E-4</v>
      </c>
      <c r="T49">
        <v>1.5298000000000001E-2</v>
      </c>
    </row>
    <row r="50" spans="1:20" x14ac:dyDescent="0.2">
      <c r="A50" t="s">
        <v>57</v>
      </c>
      <c r="B50" t="s">
        <v>19</v>
      </c>
      <c r="C50">
        <v>52</v>
      </c>
      <c r="D50">
        <v>8.0809000000000006E-2</v>
      </c>
      <c r="E50">
        <v>1E-4</v>
      </c>
      <c r="F50">
        <v>3.4889000000000001E-3</v>
      </c>
      <c r="G50">
        <v>0.91918999999999995</v>
      </c>
      <c r="H50">
        <v>1</v>
      </c>
      <c r="I50">
        <v>1</v>
      </c>
      <c r="J50">
        <v>0.11738</v>
      </c>
      <c r="K50">
        <v>7.9991999999999997E-4</v>
      </c>
      <c r="L50">
        <v>3.5524E-2</v>
      </c>
      <c r="M50">
        <v>49</v>
      </c>
      <c r="N50">
        <v>8.6815000000000003E-2</v>
      </c>
      <c r="O50">
        <v>1E-4</v>
      </c>
      <c r="P50">
        <v>1.8977999999999998E-2</v>
      </c>
      <c r="Q50">
        <v>3</v>
      </c>
      <c r="R50">
        <v>0.61660000000000004</v>
      </c>
      <c r="S50">
        <v>0.98460000000000003</v>
      </c>
      <c r="T50">
        <v>1</v>
      </c>
    </row>
    <row r="51" spans="1:20" x14ac:dyDescent="0.2">
      <c r="A51" t="s">
        <v>57</v>
      </c>
      <c r="B51" t="s">
        <v>36</v>
      </c>
      <c r="C51">
        <v>27</v>
      </c>
      <c r="D51">
        <v>4.7142000000000003E-2</v>
      </c>
      <c r="E51">
        <v>1E-4</v>
      </c>
      <c r="F51">
        <v>3.4889000000000001E-3</v>
      </c>
      <c r="G51">
        <v>0.95286000000000004</v>
      </c>
      <c r="H51">
        <v>1</v>
      </c>
      <c r="I51">
        <v>1</v>
      </c>
      <c r="J51">
        <v>9.4284000000000007E-2</v>
      </c>
      <c r="K51">
        <v>7.9991999999999997E-4</v>
      </c>
      <c r="L51">
        <v>3.5524E-2</v>
      </c>
      <c r="M51">
        <v>27</v>
      </c>
      <c r="N51">
        <v>9.4284000000000007E-2</v>
      </c>
      <c r="O51">
        <v>7.9991999999999997E-4</v>
      </c>
      <c r="P51">
        <v>8.4347000000000005E-2</v>
      </c>
      <c r="Q51">
        <v>0</v>
      </c>
      <c r="R51" t="s">
        <v>22</v>
      </c>
      <c r="S51" t="s">
        <v>22</v>
      </c>
      <c r="T51" t="s">
        <v>22</v>
      </c>
    </row>
    <row r="52" spans="1:20" x14ac:dyDescent="0.2">
      <c r="A52" t="s">
        <v>57</v>
      </c>
      <c r="B52" t="s">
        <v>55</v>
      </c>
      <c r="C52">
        <v>20</v>
      </c>
      <c r="D52">
        <v>3.8718000000000002E-2</v>
      </c>
      <c r="E52">
        <v>1E-4</v>
      </c>
      <c r="F52">
        <v>3.4889000000000001E-3</v>
      </c>
      <c r="G52">
        <v>0.96128000000000002</v>
      </c>
      <c r="H52">
        <v>1</v>
      </c>
      <c r="I52">
        <v>1</v>
      </c>
      <c r="J52">
        <v>7.7436000000000005E-2</v>
      </c>
      <c r="K52">
        <v>8.9990999999999997E-4</v>
      </c>
      <c r="L52">
        <v>3.8226999999999997E-2</v>
      </c>
      <c r="M52">
        <v>20</v>
      </c>
      <c r="N52">
        <v>7.7436000000000005E-2</v>
      </c>
      <c r="O52">
        <v>5.9993999999999998E-4</v>
      </c>
      <c r="P52">
        <v>7.1167999999999995E-2</v>
      </c>
      <c r="Q52">
        <v>0</v>
      </c>
      <c r="R52" t="s">
        <v>22</v>
      </c>
      <c r="S52" t="s">
        <v>22</v>
      </c>
      <c r="T52" t="s">
        <v>22</v>
      </c>
    </row>
    <row r="53" spans="1:20" x14ac:dyDescent="0.2">
      <c r="A53" t="s">
        <v>57</v>
      </c>
      <c r="B53" t="s">
        <v>56</v>
      </c>
      <c r="C53">
        <v>20</v>
      </c>
      <c r="D53">
        <v>0.86489000000000005</v>
      </c>
      <c r="E53">
        <v>1</v>
      </c>
      <c r="F53">
        <v>1</v>
      </c>
      <c r="G53">
        <v>0.13511000000000001</v>
      </c>
      <c r="H53">
        <v>1E-4</v>
      </c>
      <c r="I53">
        <v>1.8787000000000001E-3</v>
      </c>
      <c r="J53">
        <v>7.9241000000000006E-2</v>
      </c>
      <c r="K53">
        <v>9.9989999999999996E-4</v>
      </c>
      <c r="L53">
        <v>4.0703999999999997E-2</v>
      </c>
      <c r="M53">
        <v>2</v>
      </c>
      <c r="N53">
        <v>4.5093000000000001E-2</v>
      </c>
      <c r="O53">
        <v>8.5990999999999998E-2</v>
      </c>
      <c r="P53">
        <v>0.50373999999999997</v>
      </c>
      <c r="Q53">
        <v>18</v>
      </c>
      <c r="R53">
        <v>8.3034999999999998E-2</v>
      </c>
      <c r="S53">
        <v>4.9994999999999996E-3</v>
      </c>
      <c r="T53">
        <v>0.12748999999999999</v>
      </c>
    </row>
    <row r="54" spans="1:20" x14ac:dyDescent="0.2">
      <c r="A54" t="s">
        <v>77</v>
      </c>
      <c r="B54" t="s">
        <v>52</v>
      </c>
      <c r="C54">
        <v>185</v>
      </c>
      <c r="D54">
        <v>0.70374999999999999</v>
      </c>
      <c r="E54">
        <v>1</v>
      </c>
      <c r="F54">
        <v>1</v>
      </c>
      <c r="G54">
        <v>0.29625000000000001</v>
      </c>
      <c r="H54">
        <v>1E-4</v>
      </c>
      <c r="I54">
        <v>2.6613000000000001E-3</v>
      </c>
      <c r="J54">
        <v>0.42809000000000003</v>
      </c>
      <c r="K54">
        <v>1E-4</v>
      </c>
      <c r="L54">
        <v>1.1532000000000001E-2</v>
      </c>
      <c r="M54">
        <v>33</v>
      </c>
      <c r="N54">
        <v>0.53915999999999997</v>
      </c>
      <c r="O54">
        <v>0.21858</v>
      </c>
      <c r="P54">
        <v>0.99950000000000006</v>
      </c>
      <c r="Q54">
        <v>152</v>
      </c>
      <c r="R54">
        <v>0.40398000000000001</v>
      </c>
      <c r="S54">
        <v>1E-4</v>
      </c>
      <c r="T54">
        <v>1.4641E-2</v>
      </c>
    </row>
    <row r="55" spans="1:20" x14ac:dyDescent="0.2">
      <c r="A55" t="s">
        <v>77</v>
      </c>
      <c r="B55" t="s">
        <v>58</v>
      </c>
      <c r="C55">
        <v>26</v>
      </c>
      <c r="D55">
        <v>0.81784000000000001</v>
      </c>
      <c r="E55">
        <v>1</v>
      </c>
      <c r="F55">
        <v>1</v>
      </c>
      <c r="G55">
        <v>0.18215999999999999</v>
      </c>
      <c r="H55">
        <v>1E-4</v>
      </c>
      <c r="I55">
        <v>2.6613000000000001E-3</v>
      </c>
      <c r="J55">
        <v>0.33072000000000001</v>
      </c>
      <c r="K55">
        <v>1E-4</v>
      </c>
      <c r="L55">
        <v>1.1532000000000001E-2</v>
      </c>
      <c r="M55">
        <v>3</v>
      </c>
      <c r="N55">
        <v>0.85443999999999998</v>
      </c>
      <c r="O55">
        <v>0.97460000000000002</v>
      </c>
      <c r="P55">
        <v>0.99950000000000006</v>
      </c>
      <c r="Q55">
        <v>23</v>
      </c>
      <c r="R55">
        <v>0.26240999999999998</v>
      </c>
      <c r="S55">
        <v>1E-4</v>
      </c>
      <c r="T55">
        <v>1.4641E-2</v>
      </c>
    </row>
    <row r="56" spans="1:20" x14ac:dyDescent="0.2">
      <c r="A56" t="s">
        <v>77</v>
      </c>
      <c r="B56" t="s">
        <v>26</v>
      </c>
      <c r="C56">
        <v>148</v>
      </c>
      <c r="D56">
        <v>0.23554</v>
      </c>
      <c r="E56">
        <v>1E-4</v>
      </c>
      <c r="F56">
        <v>3.4597E-3</v>
      </c>
      <c r="G56">
        <v>0.76446000000000003</v>
      </c>
      <c r="H56">
        <v>1</v>
      </c>
      <c r="I56">
        <v>1</v>
      </c>
      <c r="J56">
        <v>0.45282</v>
      </c>
      <c r="K56">
        <v>1E-4</v>
      </c>
      <c r="L56">
        <v>1.1532000000000001E-2</v>
      </c>
      <c r="M56">
        <v>139</v>
      </c>
      <c r="N56">
        <v>0.42710999999999999</v>
      </c>
      <c r="O56">
        <v>1E-4</v>
      </c>
      <c r="P56">
        <v>1.5532000000000001E-2</v>
      </c>
      <c r="Q56">
        <v>9</v>
      </c>
      <c r="R56">
        <v>0.84994000000000003</v>
      </c>
      <c r="S56">
        <v>1</v>
      </c>
      <c r="T56">
        <v>1</v>
      </c>
    </row>
    <row r="57" spans="1:20" x14ac:dyDescent="0.2">
      <c r="A57" t="s">
        <v>77</v>
      </c>
      <c r="B57" t="s">
        <v>30</v>
      </c>
      <c r="C57">
        <v>35</v>
      </c>
      <c r="D57">
        <v>0.17968000000000001</v>
      </c>
      <c r="E57">
        <v>1E-4</v>
      </c>
      <c r="F57">
        <v>3.4597E-3</v>
      </c>
      <c r="G57">
        <v>0.82032000000000005</v>
      </c>
      <c r="H57">
        <v>1</v>
      </c>
      <c r="I57">
        <v>1</v>
      </c>
      <c r="J57">
        <v>0.35936000000000001</v>
      </c>
      <c r="K57">
        <v>1E-4</v>
      </c>
      <c r="L57">
        <v>1.1532000000000001E-2</v>
      </c>
      <c r="M57">
        <v>35</v>
      </c>
      <c r="N57">
        <v>0.35936000000000001</v>
      </c>
      <c r="O57">
        <v>1E-4</v>
      </c>
      <c r="P57">
        <v>1.5532000000000001E-2</v>
      </c>
      <c r="Q57">
        <v>0</v>
      </c>
      <c r="R57" t="s">
        <v>22</v>
      </c>
      <c r="S57" t="s">
        <v>22</v>
      </c>
      <c r="T57" t="s">
        <v>22</v>
      </c>
    </row>
    <row r="58" spans="1:20" x14ac:dyDescent="0.2">
      <c r="A58" t="s">
        <v>77</v>
      </c>
      <c r="B58" t="s">
        <v>59</v>
      </c>
      <c r="C58">
        <v>30</v>
      </c>
      <c r="D58">
        <v>0.80284</v>
      </c>
      <c r="E58">
        <v>1</v>
      </c>
      <c r="F58">
        <v>1</v>
      </c>
      <c r="G58">
        <v>0.19716</v>
      </c>
      <c r="H58">
        <v>1E-4</v>
      </c>
      <c r="I58">
        <v>2.6613000000000001E-3</v>
      </c>
      <c r="J58">
        <v>0.36786999999999997</v>
      </c>
      <c r="K58">
        <v>1E-4</v>
      </c>
      <c r="L58">
        <v>1.1532000000000001E-2</v>
      </c>
      <c r="M58">
        <v>1</v>
      </c>
      <c r="N58">
        <v>0.60333000000000003</v>
      </c>
      <c r="O58">
        <v>0.54444999999999999</v>
      </c>
      <c r="P58">
        <v>0.99950000000000006</v>
      </c>
      <c r="Q58">
        <v>29</v>
      </c>
      <c r="R58">
        <v>0.35975000000000001</v>
      </c>
      <c r="S58">
        <v>2.9996999999999999E-4</v>
      </c>
      <c r="T58">
        <v>3.4162999999999999E-2</v>
      </c>
    </row>
    <row r="59" spans="1:20" x14ac:dyDescent="0.2">
      <c r="A59" t="s">
        <v>77</v>
      </c>
      <c r="B59" t="s">
        <v>60</v>
      </c>
      <c r="C59">
        <v>26</v>
      </c>
      <c r="D59">
        <v>0.78854999999999997</v>
      </c>
      <c r="E59">
        <v>1</v>
      </c>
      <c r="F59">
        <v>1</v>
      </c>
      <c r="G59">
        <v>0.21145</v>
      </c>
      <c r="H59">
        <v>1E-4</v>
      </c>
      <c r="I59">
        <v>2.6613000000000001E-3</v>
      </c>
      <c r="J59">
        <v>0.35780000000000001</v>
      </c>
      <c r="K59">
        <v>1E-4</v>
      </c>
      <c r="L59">
        <v>1.1532000000000001E-2</v>
      </c>
      <c r="M59">
        <v>3</v>
      </c>
      <c r="N59">
        <v>0.71791000000000005</v>
      </c>
      <c r="O59">
        <v>0.83621999999999996</v>
      </c>
      <c r="P59">
        <v>0.99950000000000006</v>
      </c>
      <c r="Q59">
        <v>23</v>
      </c>
      <c r="R59">
        <v>0.31081999999999999</v>
      </c>
      <c r="S59">
        <v>3.9995999999999999E-4</v>
      </c>
      <c r="T59">
        <v>4.0995999999999998E-2</v>
      </c>
    </row>
    <row r="60" spans="1:20" x14ac:dyDescent="0.2">
      <c r="A60" t="s">
        <v>77</v>
      </c>
      <c r="B60" t="s">
        <v>61</v>
      </c>
      <c r="C60">
        <v>37</v>
      </c>
      <c r="D60">
        <v>0.76522000000000001</v>
      </c>
      <c r="E60">
        <v>1</v>
      </c>
      <c r="F60">
        <v>1</v>
      </c>
      <c r="G60">
        <v>0.23477999999999999</v>
      </c>
      <c r="H60">
        <v>1E-4</v>
      </c>
      <c r="I60">
        <v>2.6613000000000001E-3</v>
      </c>
      <c r="J60">
        <v>0.36165999999999998</v>
      </c>
      <c r="K60">
        <v>1E-4</v>
      </c>
      <c r="L60">
        <v>1.1532000000000001E-2</v>
      </c>
      <c r="M60">
        <v>5</v>
      </c>
      <c r="N60">
        <v>0.60077999999999998</v>
      </c>
      <c r="O60">
        <v>0.59494000000000002</v>
      </c>
      <c r="P60">
        <v>0.99950000000000006</v>
      </c>
      <c r="Q60">
        <v>32</v>
      </c>
      <c r="R60">
        <v>0.32429999999999998</v>
      </c>
      <c r="S60">
        <v>1E-4</v>
      </c>
      <c r="T60">
        <v>1.4641E-2</v>
      </c>
    </row>
    <row r="61" spans="1:20" x14ac:dyDescent="0.2">
      <c r="A61" t="s">
        <v>77</v>
      </c>
      <c r="B61" t="s">
        <v>62</v>
      </c>
      <c r="C61">
        <v>19</v>
      </c>
      <c r="D61">
        <v>0.77225999999999995</v>
      </c>
      <c r="E61">
        <v>1</v>
      </c>
      <c r="F61">
        <v>1</v>
      </c>
      <c r="G61">
        <v>0.22774</v>
      </c>
      <c r="H61">
        <v>1E-4</v>
      </c>
      <c r="I61">
        <v>2.6613000000000001E-3</v>
      </c>
      <c r="J61">
        <v>0.30066999999999999</v>
      </c>
      <c r="K61">
        <v>1E-4</v>
      </c>
      <c r="L61">
        <v>1.1532000000000001E-2</v>
      </c>
      <c r="M61">
        <v>3</v>
      </c>
      <c r="N61">
        <v>0.50978999999999997</v>
      </c>
      <c r="O61">
        <v>0.34377000000000002</v>
      </c>
      <c r="P61">
        <v>0.99950000000000006</v>
      </c>
      <c r="Q61">
        <v>16</v>
      </c>
      <c r="R61">
        <v>0.26146000000000003</v>
      </c>
      <c r="S61">
        <v>1E-4</v>
      </c>
      <c r="T61">
        <v>1.4641E-2</v>
      </c>
    </row>
    <row r="62" spans="1:20" x14ac:dyDescent="0.2">
      <c r="A62" t="s">
        <v>77</v>
      </c>
      <c r="B62" t="s">
        <v>63</v>
      </c>
      <c r="C62">
        <v>6</v>
      </c>
      <c r="D62">
        <v>0.76387000000000005</v>
      </c>
      <c r="E62">
        <v>0.9778</v>
      </c>
      <c r="F62">
        <v>1</v>
      </c>
      <c r="G62">
        <v>0.23613000000000001</v>
      </c>
      <c r="H62">
        <v>2.2297999999999998E-2</v>
      </c>
      <c r="I62">
        <v>0.10815</v>
      </c>
      <c r="J62">
        <v>0.17774000000000001</v>
      </c>
      <c r="K62">
        <v>1E-4</v>
      </c>
      <c r="L62">
        <v>1.1532000000000001E-2</v>
      </c>
      <c r="M62">
        <v>1</v>
      </c>
      <c r="N62">
        <v>0.11644</v>
      </c>
      <c r="O62">
        <v>1.7998E-2</v>
      </c>
      <c r="P62">
        <v>0.43101</v>
      </c>
      <c r="Q62">
        <v>5</v>
      </c>
      <c r="R62">
        <v>0.19</v>
      </c>
      <c r="S62">
        <v>1.0999E-3</v>
      </c>
      <c r="T62">
        <v>5.5515000000000002E-2</v>
      </c>
    </row>
    <row r="63" spans="1:20" x14ac:dyDescent="0.2">
      <c r="A63" t="s">
        <v>77</v>
      </c>
      <c r="B63" t="s">
        <v>25</v>
      </c>
      <c r="C63">
        <v>145</v>
      </c>
      <c r="D63">
        <v>0.24526000000000001</v>
      </c>
      <c r="E63">
        <v>1E-4</v>
      </c>
      <c r="F63">
        <v>3.4597E-3</v>
      </c>
      <c r="G63">
        <v>0.75473999999999997</v>
      </c>
      <c r="H63">
        <v>1</v>
      </c>
      <c r="I63">
        <v>1</v>
      </c>
      <c r="J63">
        <v>0.46438000000000001</v>
      </c>
      <c r="K63">
        <v>1.9997999999999999E-4</v>
      </c>
      <c r="L63">
        <v>1.5968E-2</v>
      </c>
      <c r="M63">
        <v>134</v>
      </c>
      <c r="N63">
        <v>0.43454999999999999</v>
      </c>
      <c r="O63">
        <v>1E-4</v>
      </c>
      <c r="P63">
        <v>1.5532000000000001E-2</v>
      </c>
      <c r="Q63">
        <v>11</v>
      </c>
      <c r="R63">
        <v>0.82774999999999999</v>
      </c>
      <c r="S63">
        <v>1</v>
      </c>
      <c r="T63">
        <v>1</v>
      </c>
    </row>
    <row r="64" spans="1:20" x14ac:dyDescent="0.2">
      <c r="A64" t="s">
        <v>77</v>
      </c>
      <c r="B64" t="s">
        <v>64</v>
      </c>
      <c r="C64">
        <v>214</v>
      </c>
      <c r="D64">
        <v>0.70772000000000002</v>
      </c>
      <c r="E64">
        <v>1</v>
      </c>
      <c r="F64">
        <v>1</v>
      </c>
      <c r="G64">
        <v>0.29227999999999998</v>
      </c>
      <c r="H64">
        <v>1E-4</v>
      </c>
      <c r="I64">
        <v>2.6613000000000001E-3</v>
      </c>
      <c r="J64">
        <v>0.47384999999999999</v>
      </c>
      <c r="K64">
        <v>1.9997999999999999E-4</v>
      </c>
      <c r="L64">
        <v>1.5968E-2</v>
      </c>
      <c r="M64">
        <v>32</v>
      </c>
      <c r="N64">
        <v>0.62982000000000005</v>
      </c>
      <c r="O64">
        <v>0.90100999999999998</v>
      </c>
      <c r="P64">
        <v>0.99950000000000006</v>
      </c>
      <c r="Q64">
        <v>182</v>
      </c>
      <c r="R64">
        <v>0.44641999999999998</v>
      </c>
      <c r="S64">
        <v>2.9996999999999999E-4</v>
      </c>
      <c r="T64">
        <v>3.4162999999999999E-2</v>
      </c>
    </row>
    <row r="65" spans="1:20" x14ac:dyDescent="0.2">
      <c r="A65" t="s">
        <v>77</v>
      </c>
      <c r="B65" t="s">
        <v>65</v>
      </c>
      <c r="C65">
        <v>18</v>
      </c>
      <c r="D65">
        <v>0.82157000000000002</v>
      </c>
      <c r="E65">
        <v>1</v>
      </c>
      <c r="F65">
        <v>1</v>
      </c>
      <c r="G65">
        <v>0.17843000000000001</v>
      </c>
      <c r="H65">
        <v>1E-4</v>
      </c>
      <c r="I65">
        <v>2.6613000000000001E-3</v>
      </c>
      <c r="J65">
        <v>0.29832999999999998</v>
      </c>
      <c r="K65">
        <v>1.9997999999999999E-4</v>
      </c>
      <c r="L65">
        <v>1.5968E-2</v>
      </c>
      <c r="M65">
        <v>2</v>
      </c>
      <c r="N65">
        <v>0.73665000000000003</v>
      </c>
      <c r="O65">
        <v>0.80291999999999997</v>
      </c>
      <c r="P65">
        <v>0.99950000000000006</v>
      </c>
      <c r="Q65">
        <v>16</v>
      </c>
      <c r="R65">
        <v>0.24354000000000001</v>
      </c>
      <c r="S65">
        <v>1E-4</v>
      </c>
      <c r="T65">
        <v>1.4641E-2</v>
      </c>
    </row>
    <row r="66" spans="1:20" x14ac:dyDescent="0.2">
      <c r="A66" t="s">
        <v>77</v>
      </c>
      <c r="B66" t="s">
        <v>66</v>
      </c>
      <c r="C66">
        <v>12</v>
      </c>
      <c r="D66">
        <v>0.84626000000000001</v>
      </c>
      <c r="E66">
        <v>1</v>
      </c>
      <c r="F66">
        <v>1</v>
      </c>
      <c r="G66">
        <v>0.15373999999999999</v>
      </c>
      <c r="H66">
        <v>1E-4</v>
      </c>
      <c r="I66">
        <v>2.6613000000000001E-3</v>
      </c>
      <c r="J66">
        <v>0.28543000000000002</v>
      </c>
      <c r="K66">
        <v>1.9997999999999999E-4</v>
      </c>
      <c r="L66">
        <v>1.5968E-2</v>
      </c>
      <c r="M66">
        <v>1</v>
      </c>
      <c r="N66">
        <v>0.86772000000000005</v>
      </c>
      <c r="O66">
        <v>0.84241999999999995</v>
      </c>
      <c r="P66">
        <v>0.99950000000000006</v>
      </c>
      <c r="Q66">
        <v>11</v>
      </c>
      <c r="R66">
        <v>0.23249</v>
      </c>
      <c r="S66">
        <v>1E-4</v>
      </c>
      <c r="T66">
        <v>1.4641E-2</v>
      </c>
    </row>
    <row r="67" spans="1:20" x14ac:dyDescent="0.2">
      <c r="A67" t="s">
        <v>77</v>
      </c>
      <c r="B67" t="s">
        <v>67</v>
      </c>
      <c r="C67">
        <v>8</v>
      </c>
      <c r="D67">
        <v>0.87539999999999996</v>
      </c>
      <c r="E67">
        <v>1</v>
      </c>
      <c r="F67">
        <v>1</v>
      </c>
      <c r="G67">
        <v>0.1246</v>
      </c>
      <c r="H67">
        <v>1E-4</v>
      </c>
      <c r="I67">
        <v>2.6613000000000001E-3</v>
      </c>
      <c r="J67">
        <v>0.2492</v>
      </c>
      <c r="K67">
        <v>2.9996999999999999E-4</v>
      </c>
      <c r="L67">
        <v>1.8315999999999999E-2</v>
      </c>
      <c r="M67">
        <v>0</v>
      </c>
      <c r="N67" t="s">
        <v>22</v>
      </c>
      <c r="O67" t="s">
        <v>22</v>
      </c>
      <c r="P67" t="s">
        <v>22</v>
      </c>
      <c r="Q67">
        <v>8</v>
      </c>
      <c r="R67">
        <v>0.2492</v>
      </c>
      <c r="S67">
        <v>1.0999E-3</v>
      </c>
      <c r="T67">
        <v>5.5515000000000002E-2</v>
      </c>
    </row>
    <row r="68" spans="1:20" x14ac:dyDescent="0.2">
      <c r="A68" t="s">
        <v>77</v>
      </c>
      <c r="B68" t="s">
        <v>68</v>
      </c>
      <c r="C68">
        <v>5</v>
      </c>
      <c r="D68">
        <v>0.90500000000000003</v>
      </c>
      <c r="E68">
        <v>0.99980000000000002</v>
      </c>
      <c r="F68">
        <v>1</v>
      </c>
      <c r="G68">
        <v>9.5002000000000003E-2</v>
      </c>
      <c r="H68">
        <v>2.9996999999999999E-4</v>
      </c>
      <c r="I68">
        <v>5.7660999999999997E-3</v>
      </c>
      <c r="J68">
        <v>0.19</v>
      </c>
      <c r="K68">
        <v>2.9996999999999999E-4</v>
      </c>
      <c r="L68">
        <v>1.8315999999999999E-2</v>
      </c>
      <c r="M68">
        <v>0</v>
      </c>
      <c r="N68" t="s">
        <v>22</v>
      </c>
      <c r="O68" t="s">
        <v>22</v>
      </c>
      <c r="P68" t="s">
        <v>22</v>
      </c>
      <c r="Q68">
        <v>5</v>
      </c>
      <c r="R68">
        <v>0.19</v>
      </c>
      <c r="S68">
        <v>1.0999E-3</v>
      </c>
      <c r="T68">
        <v>5.5515000000000002E-2</v>
      </c>
    </row>
    <row r="69" spans="1:20" x14ac:dyDescent="0.2">
      <c r="A69" t="s">
        <v>77</v>
      </c>
      <c r="B69" t="s">
        <v>69</v>
      </c>
      <c r="C69">
        <v>5</v>
      </c>
      <c r="D69">
        <v>0.90500000000000003</v>
      </c>
      <c r="E69">
        <v>0.99980000000000002</v>
      </c>
      <c r="F69">
        <v>1</v>
      </c>
      <c r="G69">
        <v>9.5002000000000003E-2</v>
      </c>
      <c r="H69">
        <v>2.9996999999999999E-4</v>
      </c>
      <c r="I69">
        <v>5.7660999999999997E-3</v>
      </c>
      <c r="J69">
        <v>0.19</v>
      </c>
      <c r="K69">
        <v>2.9996999999999999E-4</v>
      </c>
      <c r="L69">
        <v>1.8315999999999999E-2</v>
      </c>
      <c r="M69">
        <v>0</v>
      </c>
      <c r="N69" t="s">
        <v>22</v>
      </c>
      <c r="O69" t="s">
        <v>22</v>
      </c>
      <c r="P69" t="s">
        <v>22</v>
      </c>
      <c r="Q69">
        <v>5</v>
      </c>
      <c r="R69">
        <v>0.19</v>
      </c>
      <c r="S69">
        <v>1.0999E-3</v>
      </c>
      <c r="T69">
        <v>5.5515000000000002E-2</v>
      </c>
    </row>
    <row r="70" spans="1:20" x14ac:dyDescent="0.2">
      <c r="A70" t="s">
        <v>77</v>
      </c>
      <c r="B70" t="s">
        <v>70</v>
      </c>
      <c r="C70">
        <v>5</v>
      </c>
      <c r="D70">
        <v>0.90500000000000003</v>
      </c>
      <c r="E70">
        <v>0.99980000000000002</v>
      </c>
      <c r="F70">
        <v>1</v>
      </c>
      <c r="G70">
        <v>9.5002000000000003E-2</v>
      </c>
      <c r="H70">
        <v>2.9996999999999999E-4</v>
      </c>
      <c r="I70">
        <v>5.7660999999999997E-3</v>
      </c>
      <c r="J70">
        <v>0.19</v>
      </c>
      <c r="K70">
        <v>2.9996999999999999E-4</v>
      </c>
      <c r="L70">
        <v>1.8315999999999999E-2</v>
      </c>
      <c r="M70">
        <v>0</v>
      </c>
      <c r="N70" t="s">
        <v>22</v>
      </c>
      <c r="O70" t="s">
        <v>22</v>
      </c>
      <c r="P70" t="s">
        <v>22</v>
      </c>
      <c r="Q70">
        <v>5</v>
      </c>
      <c r="R70">
        <v>0.19</v>
      </c>
      <c r="S70">
        <v>1.0999E-3</v>
      </c>
      <c r="T70">
        <v>5.5515000000000002E-2</v>
      </c>
    </row>
    <row r="71" spans="1:20" x14ac:dyDescent="0.2">
      <c r="A71" t="s">
        <v>77</v>
      </c>
      <c r="B71" t="s">
        <v>71</v>
      </c>
      <c r="C71">
        <v>8</v>
      </c>
      <c r="D71">
        <v>0.87270000000000003</v>
      </c>
      <c r="E71">
        <v>1</v>
      </c>
      <c r="F71">
        <v>1</v>
      </c>
      <c r="G71">
        <v>0.1273</v>
      </c>
      <c r="H71">
        <v>1E-4</v>
      </c>
      <c r="I71">
        <v>2.6613000000000001E-3</v>
      </c>
      <c r="J71">
        <v>0.25459999999999999</v>
      </c>
      <c r="K71">
        <v>3.9995999999999999E-4</v>
      </c>
      <c r="L71">
        <v>2.3064000000000001E-2</v>
      </c>
      <c r="M71">
        <v>0</v>
      </c>
      <c r="N71" t="s">
        <v>22</v>
      </c>
      <c r="O71" t="s">
        <v>22</v>
      </c>
      <c r="P71" t="s">
        <v>22</v>
      </c>
      <c r="Q71">
        <v>8</v>
      </c>
      <c r="R71">
        <v>0.25459999999999999</v>
      </c>
      <c r="S71">
        <v>1.3998999999999999E-3</v>
      </c>
      <c r="T71">
        <v>5.7394000000000001E-2</v>
      </c>
    </row>
    <row r="72" spans="1:20" x14ac:dyDescent="0.2">
      <c r="A72" t="s">
        <v>77</v>
      </c>
      <c r="B72" t="s">
        <v>72</v>
      </c>
      <c r="C72">
        <v>38</v>
      </c>
      <c r="D72">
        <v>0.48760999999999999</v>
      </c>
      <c r="E72">
        <v>4.7895E-2</v>
      </c>
      <c r="F72">
        <v>0.29416999999999999</v>
      </c>
      <c r="G72">
        <v>0.51239000000000001</v>
      </c>
      <c r="H72">
        <v>0.95220000000000005</v>
      </c>
      <c r="I72">
        <v>1</v>
      </c>
      <c r="J72">
        <v>0.40451999999999999</v>
      </c>
      <c r="K72">
        <v>4.9994999999999998E-4</v>
      </c>
      <c r="L72">
        <v>2.7313E-2</v>
      </c>
      <c r="M72">
        <v>22</v>
      </c>
      <c r="N72">
        <v>0.46433000000000002</v>
      </c>
      <c r="O72">
        <v>2.3297999999999999E-2</v>
      </c>
      <c r="P72">
        <v>0.47203000000000001</v>
      </c>
      <c r="Q72">
        <v>16</v>
      </c>
      <c r="R72">
        <v>0.32229000000000002</v>
      </c>
      <c r="S72">
        <v>1.6998E-3</v>
      </c>
      <c r="T72">
        <v>6.7013000000000003E-2</v>
      </c>
    </row>
    <row r="73" spans="1:20" x14ac:dyDescent="0.2">
      <c r="A73" t="s">
        <v>77</v>
      </c>
      <c r="B73" t="s">
        <v>73</v>
      </c>
      <c r="C73">
        <v>7</v>
      </c>
      <c r="D73">
        <v>0.87573000000000001</v>
      </c>
      <c r="E73">
        <v>1</v>
      </c>
      <c r="F73">
        <v>1</v>
      </c>
      <c r="G73">
        <v>0.12427000000000001</v>
      </c>
      <c r="H73">
        <v>1E-4</v>
      </c>
      <c r="I73">
        <v>2.6613000000000001E-3</v>
      </c>
      <c r="J73">
        <v>0.24854000000000001</v>
      </c>
      <c r="K73">
        <v>5.9993999999999998E-4</v>
      </c>
      <c r="L73">
        <v>3.1137000000000001E-2</v>
      </c>
      <c r="M73">
        <v>0</v>
      </c>
      <c r="N73" t="s">
        <v>22</v>
      </c>
      <c r="O73" t="s">
        <v>22</v>
      </c>
      <c r="P73" t="s">
        <v>22</v>
      </c>
      <c r="Q73">
        <v>7</v>
      </c>
      <c r="R73">
        <v>0.24854000000000001</v>
      </c>
      <c r="S73">
        <v>1.8998000000000001E-3</v>
      </c>
      <c r="T73">
        <v>7.2122000000000006E-2</v>
      </c>
    </row>
    <row r="74" spans="1:20" x14ac:dyDescent="0.2">
      <c r="A74" t="s">
        <v>77</v>
      </c>
      <c r="B74" t="s">
        <v>74</v>
      </c>
      <c r="C74">
        <v>5</v>
      </c>
      <c r="D74">
        <v>0.88788</v>
      </c>
      <c r="E74">
        <v>0.99939999999999996</v>
      </c>
      <c r="F74">
        <v>1</v>
      </c>
      <c r="G74">
        <v>0.11212</v>
      </c>
      <c r="H74">
        <v>6.9992999999999997E-4</v>
      </c>
      <c r="I74">
        <v>9.9524000000000001E-3</v>
      </c>
      <c r="J74">
        <v>0.22425</v>
      </c>
      <c r="K74">
        <v>7.9991999999999997E-4</v>
      </c>
      <c r="L74">
        <v>3.9538999999999998E-2</v>
      </c>
      <c r="M74">
        <v>0</v>
      </c>
      <c r="N74" t="s">
        <v>22</v>
      </c>
      <c r="O74" t="s">
        <v>22</v>
      </c>
      <c r="P74" t="s">
        <v>22</v>
      </c>
      <c r="Q74">
        <v>5</v>
      </c>
      <c r="R74">
        <v>0.22425</v>
      </c>
      <c r="S74">
        <v>3.9995999999999999E-3</v>
      </c>
      <c r="T74">
        <v>0.11388</v>
      </c>
    </row>
    <row r="75" spans="1:20" x14ac:dyDescent="0.2">
      <c r="A75" t="s">
        <v>77</v>
      </c>
      <c r="B75" t="s">
        <v>75</v>
      </c>
      <c r="C75">
        <v>12</v>
      </c>
      <c r="D75">
        <v>0.79657999999999995</v>
      </c>
      <c r="E75">
        <v>0.99939999999999996</v>
      </c>
      <c r="F75">
        <v>1</v>
      </c>
      <c r="G75">
        <v>0.20341999999999999</v>
      </c>
      <c r="H75">
        <v>6.9992999999999997E-4</v>
      </c>
      <c r="I75">
        <v>9.9524000000000001E-3</v>
      </c>
      <c r="J75">
        <v>0.31137999999999999</v>
      </c>
      <c r="K75">
        <v>9.9989999999999996E-4</v>
      </c>
      <c r="L75">
        <v>4.7176999999999997E-2</v>
      </c>
      <c r="M75">
        <v>2</v>
      </c>
      <c r="N75">
        <v>0.71362999999999999</v>
      </c>
      <c r="O75">
        <v>0.76702000000000004</v>
      </c>
      <c r="P75">
        <v>0.99950000000000006</v>
      </c>
      <c r="Q75">
        <v>10</v>
      </c>
      <c r="R75">
        <v>0.23093</v>
      </c>
      <c r="S75">
        <v>1E-4</v>
      </c>
      <c r="T75">
        <v>1.4641E-2</v>
      </c>
    </row>
    <row r="76" spans="1:20" x14ac:dyDescent="0.2">
      <c r="A76" t="s">
        <v>77</v>
      </c>
      <c r="B76" t="s">
        <v>76</v>
      </c>
      <c r="C76">
        <v>8</v>
      </c>
      <c r="D76">
        <v>0.86634</v>
      </c>
      <c r="E76">
        <v>1</v>
      </c>
      <c r="F76">
        <v>1</v>
      </c>
      <c r="G76">
        <v>0.13366</v>
      </c>
      <c r="H76">
        <v>1E-4</v>
      </c>
      <c r="I76">
        <v>2.6613000000000001E-3</v>
      </c>
      <c r="J76">
        <v>0.26732</v>
      </c>
      <c r="K76">
        <v>1.0999E-3</v>
      </c>
      <c r="L76">
        <v>4.9639000000000003E-2</v>
      </c>
      <c r="M76">
        <v>0</v>
      </c>
      <c r="N76" t="s">
        <v>22</v>
      </c>
      <c r="O76" t="s">
        <v>22</v>
      </c>
      <c r="P76" t="s">
        <v>22</v>
      </c>
      <c r="Q76">
        <v>8</v>
      </c>
      <c r="R76">
        <v>0.26732</v>
      </c>
      <c r="S76">
        <v>2.5996999999999999E-3</v>
      </c>
      <c r="T76">
        <v>9.5169000000000004E-2</v>
      </c>
    </row>
    <row r="77" spans="1:20" x14ac:dyDescent="0.2">
      <c r="A77" t="s">
        <v>81</v>
      </c>
      <c r="B77" t="s">
        <v>27</v>
      </c>
      <c r="C77">
        <v>178</v>
      </c>
      <c r="D77">
        <v>0.91739999999999999</v>
      </c>
      <c r="E77">
        <v>1</v>
      </c>
      <c r="F77">
        <v>1</v>
      </c>
      <c r="G77">
        <v>8.2599000000000006E-2</v>
      </c>
      <c r="H77">
        <v>1E-4</v>
      </c>
      <c r="I77">
        <v>1.6869000000000001E-3</v>
      </c>
      <c r="J77">
        <v>6.2839999999999993E-2</v>
      </c>
      <c r="K77">
        <v>1E-4</v>
      </c>
      <c r="L77">
        <v>1.0121E-2</v>
      </c>
      <c r="M77">
        <v>15</v>
      </c>
      <c r="N77">
        <v>0.39267999999999997</v>
      </c>
      <c r="O77">
        <v>0.99970000000000003</v>
      </c>
      <c r="P77">
        <v>1</v>
      </c>
      <c r="Q77">
        <v>163</v>
      </c>
      <c r="R77">
        <v>3.2487000000000002E-2</v>
      </c>
      <c r="S77">
        <v>1E-4</v>
      </c>
      <c r="T77">
        <v>5.6208999999999999E-3</v>
      </c>
    </row>
    <row r="78" spans="1:20" x14ac:dyDescent="0.2">
      <c r="A78" t="s">
        <v>81</v>
      </c>
      <c r="B78" t="s">
        <v>26</v>
      </c>
      <c r="C78">
        <v>135</v>
      </c>
      <c r="D78">
        <v>0.95596999999999999</v>
      </c>
      <c r="E78">
        <v>1</v>
      </c>
      <c r="F78">
        <v>1</v>
      </c>
      <c r="G78">
        <v>4.4026000000000003E-2</v>
      </c>
      <c r="H78">
        <v>1E-4</v>
      </c>
      <c r="I78">
        <v>1.6869000000000001E-3</v>
      </c>
      <c r="J78">
        <v>3.5758999999999999E-2</v>
      </c>
      <c r="K78">
        <v>1E-4</v>
      </c>
      <c r="L78">
        <v>1.0121E-2</v>
      </c>
      <c r="M78">
        <v>7</v>
      </c>
      <c r="N78">
        <v>0.49574000000000001</v>
      </c>
      <c r="O78">
        <v>0.99919999999999998</v>
      </c>
      <c r="P78">
        <v>1</v>
      </c>
      <c r="Q78">
        <v>128</v>
      </c>
      <c r="R78">
        <v>1.0604000000000001E-2</v>
      </c>
      <c r="S78">
        <v>1E-4</v>
      </c>
      <c r="T78">
        <v>5.6208999999999999E-3</v>
      </c>
    </row>
    <row r="79" spans="1:20" x14ac:dyDescent="0.2">
      <c r="A79" t="s">
        <v>81</v>
      </c>
      <c r="B79" t="s">
        <v>25</v>
      </c>
      <c r="C79">
        <v>131</v>
      </c>
      <c r="D79">
        <v>0.94013999999999998</v>
      </c>
      <c r="E79">
        <v>1</v>
      </c>
      <c r="F79">
        <v>1</v>
      </c>
      <c r="G79">
        <v>5.9859999999999997E-2</v>
      </c>
      <c r="H79">
        <v>1E-4</v>
      </c>
      <c r="I79">
        <v>1.6869000000000001E-3</v>
      </c>
      <c r="J79">
        <v>3.7462000000000002E-2</v>
      </c>
      <c r="K79">
        <v>1E-4</v>
      </c>
      <c r="L79">
        <v>1.0121E-2</v>
      </c>
      <c r="M79">
        <v>9</v>
      </c>
      <c r="N79">
        <v>0.40134999999999998</v>
      </c>
      <c r="O79">
        <v>0.99660000000000004</v>
      </c>
      <c r="P79">
        <v>1</v>
      </c>
      <c r="Q79">
        <v>122</v>
      </c>
      <c r="R79">
        <v>1.0618000000000001E-2</v>
      </c>
      <c r="S79">
        <v>1E-4</v>
      </c>
      <c r="T79">
        <v>5.6208999999999999E-3</v>
      </c>
    </row>
    <row r="80" spans="1:20" x14ac:dyDescent="0.2">
      <c r="A80" t="s">
        <v>81</v>
      </c>
      <c r="B80" t="s">
        <v>30</v>
      </c>
      <c r="C80">
        <v>31</v>
      </c>
      <c r="D80">
        <v>0.99580000000000002</v>
      </c>
      <c r="E80">
        <v>1</v>
      </c>
      <c r="F80">
        <v>1</v>
      </c>
      <c r="G80">
        <v>4.2033000000000001E-3</v>
      </c>
      <c r="H80">
        <v>1E-4</v>
      </c>
      <c r="I80">
        <v>1.6869000000000001E-3</v>
      </c>
      <c r="J80">
        <v>8.4066999999999996E-3</v>
      </c>
      <c r="K80">
        <v>1E-4</v>
      </c>
      <c r="L80">
        <v>1.0121E-2</v>
      </c>
      <c r="M80">
        <v>0</v>
      </c>
      <c r="N80" t="s">
        <v>22</v>
      </c>
      <c r="O80" t="s">
        <v>22</v>
      </c>
      <c r="P80" t="s">
        <v>22</v>
      </c>
      <c r="Q80">
        <v>31</v>
      </c>
      <c r="R80">
        <v>8.4066999999999996E-3</v>
      </c>
      <c r="S80">
        <v>1E-4</v>
      </c>
      <c r="T80">
        <v>5.6208999999999999E-3</v>
      </c>
    </row>
    <row r="81" spans="1:20" x14ac:dyDescent="0.2">
      <c r="A81" t="s">
        <v>81</v>
      </c>
      <c r="B81" t="s">
        <v>28</v>
      </c>
      <c r="C81">
        <v>168</v>
      </c>
      <c r="D81">
        <v>0.79596999999999996</v>
      </c>
      <c r="E81">
        <v>1</v>
      </c>
      <c r="F81">
        <v>1</v>
      </c>
      <c r="G81">
        <v>0.20402999999999999</v>
      </c>
      <c r="H81">
        <v>1E-4</v>
      </c>
      <c r="I81">
        <v>1.6869000000000001E-3</v>
      </c>
      <c r="J81">
        <v>6.3971E-2</v>
      </c>
      <c r="K81">
        <v>1E-4</v>
      </c>
      <c r="L81">
        <v>1.0121E-2</v>
      </c>
      <c r="M81">
        <v>37</v>
      </c>
      <c r="N81">
        <v>0.21881</v>
      </c>
      <c r="O81">
        <v>0.95630000000000004</v>
      </c>
      <c r="P81">
        <v>1</v>
      </c>
      <c r="Q81">
        <v>131</v>
      </c>
      <c r="R81">
        <v>2.0237000000000002E-2</v>
      </c>
      <c r="S81">
        <v>1E-4</v>
      </c>
      <c r="T81">
        <v>5.6208999999999999E-3</v>
      </c>
    </row>
    <row r="82" spans="1:20" x14ac:dyDescent="0.2">
      <c r="A82" t="s">
        <v>81</v>
      </c>
      <c r="B82" t="s">
        <v>31</v>
      </c>
      <c r="C82">
        <v>12</v>
      </c>
      <c r="D82">
        <v>0.99683999999999995</v>
      </c>
      <c r="E82">
        <v>1</v>
      </c>
      <c r="F82">
        <v>1</v>
      </c>
      <c r="G82">
        <v>3.1640000000000001E-3</v>
      </c>
      <c r="H82">
        <v>1E-4</v>
      </c>
      <c r="I82">
        <v>1.6869000000000001E-3</v>
      </c>
      <c r="J82">
        <v>6.3279E-3</v>
      </c>
      <c r="K82">
        <v>1E-4</v>
      </c>
      <c r="L82">
        <v>1.0121E-2</v>
      </c>
      <c r="M82">
        <v>0</v>
      </c>
      <c r="N82" t="s">
        <v>22</v>
      </c>
      <c r="O82" t="s">
        <v>22</v>
      </c>
      <c r="P82" t="s">
        <v>22</v>
      </c>
      <c r="Q82">
        <v>12</v>
      </c>
      <c r="R82">
        <v>6.3279E-3</v>
      </c>
      <c r="S82">
        <v>1E-4</v>
      </c>
      <c r="T82">
        <v>5.6208999999999999E-3</v>
      </c>
    </row>
    <row r="83" spans="1:20" x14ac:dyDescent="0.2">
      <c r="A83" t="s">
        <v>81</v>
      </c>
      <c r="B83" t="s">
        <v>33</v>
      </c>
      <c r="C83">
        <v>17</v>
      </c>
      <c r="D83">
        <v>0.99007000000000001</v>
      </c>
      <c r="E83">
        <v>1</v>
      </c>
      <c r="F83">
        <v>1</v>
      </c>
      <c r="G83">
        <v>9.9275000000000006E-3</v>
      </c>
      <c r="H83">
        <v>1E-4</v>
      </c>
      <c r="I83">
        <v>1.6869000000000001E-3</v>
      </c>
      <c r="J83">
        <v>1.9855000000000001E-2</v>
      </c>
      <c r="K83">
        <v>1E-4</v>
      </c>
      <c r="L83">
        <v>1.0121E-2</v>
      </c>
      <c r="M83">
        <v>0</v>
      </c>
      <c r="N83" t="s">
        <v>22</v>
      </c>
      <c r="O83" t="s">
        <v>22</v>
      </c>
      <c r="P83" t="s">
        <v>22</v>
      </c>
      <c r="Q83">
        <v>17</v>
      </c>
      <c r="R83">
        <v>1.9855000000000001E-2</v>
      </c>
      <c r="S83">
        <v>1E-4</v>
      </c>
      <c r="T83">
        <v>5.6208999999999999E-3</v>
      </c>
    </row>
    <row r="84" spans="1:20" x14ac:dyDescent="0.2">
      <c r="A84" t="s">
        <v>81</v>
      </c>
      <c r="B84" t="s">
        <v>23</v>
      </c>
      <c r="C84">
        <v>29</v>
      </c>
      <c r="D84">
        <v>0.96153999999999995</v>
      </c>
      <c r="E84">
        <v>1</v>
      </c>
      <c r="F84">
        <v>1</v>
      </c>
      <c r="G84">
        <v>3.8460000000000001E-2</v>
      </c>
      <c r="H84">
        <v>1E-4</v>
      </c>
      <c r="I84">
        <v>1.6869000000000001E-3</v>
      </c>
      <c r="J84">
        <v>1.7292999999999999E-2</v>
      </c>
      <c r="K84">
        <v>1E-4</v>
      </c>
      <c r="L84">
        <v>1.0121E-2</v>
      </c>
      <c r="M84">
        <v>1</v>
      </c>
      <c r="N84">
        <v>0.13541</v>
      </c>
      <c r="O84">
        <v>0.70333000000000001</v>
      </c>
      <c r="P84">
        <v>1</v>
      </c>
      <c r="Q84">
        <v>28</v>
      </c>
      <c r="R84">
        <v>1.3074000000000001E-2</v>
      </c>
      <c r="S84">
        <v>1E-4</v>
      </c>
      <c r="T84">
        <v>5.6208999999999999E-3</v>
      </c>
    </row>
    <row r="85" spans="1:20" x14ac:dyDescent="0.2">
      <c r="A85" t="s">
        <v>81</v>
      </c>
      <c r="B85" t="s">
        <v>78</v>
      </c>
      <c r="C85">
        <v>7</v>
      </c>
      <c r="D85">
        <v>0.99565000000000003</v>
      </c>
      <c r="E85">
        <v>1</v>
      </c>
      <c r="F85">
        <v>1</v>
      </c>
      <c r="G85">
        <v>4.3461000000000003E-3</v>
      </c>
      <c r="H85">
        <v>1E-4</v>
      </c>
      <c r="I85">
        <v>1.6869000000000001E-3</v>
      </c>
      <c r="J85">
        <v>8.6920999999999995E-3</v>
      </c>
      <c r="K85">
        <v>1E-4</v>
      </c>
      <c r="L85">
        <v>1.0121E-2</v>
      </c>
      <c r="M85">
        <v>0</v>
      </c>
      <c r="N85" t="s">
        <v>22</v>
      </c>
      <c r="O85" t="s">
        <v>22</v>
      </c>
      <c r="P85" t="s">
        <v>22</v>
      </c>
      <c r="Q85">
        <v>7</v>
      </c>
      <c r="R85">
        <v>8.6920999999999995E-3</v>
      </c>
      <c r="S85">
        <v>4.9994999999999998E-4</v>
      </c>
      <c r="T85">
        <v>1.9673E-2</v>
      </c>
    </row>
    <row r="86" spans="1:20" x14ac:dyDescent="0.2">
      <c r="A86" t="s">
        <v>81</v>
      </c>
      <c r="B86" t="s">
        <v>37</v>
      </c>
      <c r="C86">
        <v>14</v>
      </c>
      <c r="D86">
        <v>1.2285000000000001E-2</v>
      </c>
      <c r="E86">
        <v>1E-4</v>
      </c>
      <c r="F86">
        <v>3.5035000000000001E-3</v>
      </c>
      <c r="G86">
        <v>0.98770999999999998</v>
      </c>
      <c r="H86">
        <v>1</v>
      </c>
      <c r="I86">
        <v>1</v>
      </c>
      <c r="J86">
        <v>2.4570999999999999E-2</v>
      </c>
      <c r="K86">
        <v>1.9997999999999999E-4</v>
      </c>
      <c r="L86">
        <v>1.6562E-2</v>
      </c>
      <c r="M86">
        <v>14</v>
      </c>
      <c r="N86">
        <v>2.4570999999999999E-2</v>
      </c>
      <c r="O86">
        <v>3.9995999999999999E-4</v>
      </c>
      <c r="P86">
        <v>5.9193999999999997E-2</v>
      </c>
      <c r="Q86">
        <v>0</v>
      </c>
      <c r="R86" t="s">
        <v>22</v>
      </c>
      <c r="S86" t="s">
        <v>22</v>
      </c>
      <c r="T86" t="s">
        <v>22</v>
      </c>
    </row>
    <row r="87" spans="1:20" x14ac:dyDescent="0.2">
      <c r="A87" t="s">
        <v>81</v>
      </c>
      <c r="B87" t="s">
        <v>79</v>
      </c>
      <c r="C87">
        <v>8</v>
      </c>
      <c r="D87">
        <v>0.99522999999999995</v>
      </c>
      <c r="E87">
        <v>1</v>
      </c>
      <c r="F87">
        <v>1</v>
      </c>
      <c r="G87">
        <v>4.7686999999999998E-3</v>
      </c>
      <c r="H87">
        <v>1E-4</v>
      </c>
      <c r="I87">
        <v>1.6869000000000001E-3</v>
      </c>
      <c r="J87">
        <v>9.5373000000000003E-3</v>
      </c>
      <c r="K87">
        <v>1.9997999999999999E-4</v>
      </c>
      <c r="L87">
        <v>1.6562E-2</v>
      </c>
      <c r="M87">
        <v>0</v>
      </c>
      <c r="N87" t="s">
        <v>22</v>
      </c>
      <c r="O87" t="s">
        <v>22</v>
      </c>
      <c r="P87" t="s">
        <v>22</v>
      </c>
      <c r="Q87">
        <v>8</v>
      </c>
      <c r="R87">
        <v>9.5373000000000003E-3</v>
      </c>
      <c r="S87">
        <v>3.9995999999999999E-4</v>
      </c>
      <c r="T87">
        <v>1.7486999999999999E-2</v>
      </c>
    </row>
    <row r="88" spans="1:20" x14ac:dyDescent="0.2">
      <c r="A88" t="s">
        <v>81</v>
      </c>
      <c r="B88" t="s">
        <v>72</v>
      </c>
      <c r="C88">
        <v>35</v>
      </c>
      <c r="D88">
        <v>0.53644000000000003</v>
      </c>
      <c r="E88">
        <v>0.99170000000000003</v>
      </c>
      <c r="F88">
        <v>1</v>
      </c>
      <c r="G88">
        <v>0.46356000000000003</v>
      </c>
      <c r="H88">
        <v>8.3992000000000008E-3</v>
      </c>
      <c r="I88">
        <v>6.5398999999999999E-2</v>
      </c>
      <c r="J88">
        <v>5.0680999999999997E-2</v>
      </c>
      <c r="K88">
        <v>2.9996999999999999E-4</v>
      </c>
      <c r="L88">
        <v>2.2773000000000002E-2</v>
      </c>
      <c r="M88">
        <v>16</v>
      </c>
      <c r="N88">
        <v>4.1399999999999999E-2</v>
      </c>
      <c r="O88">
        <v>3.3996999999999999E-3</v>
      </c>
      <c r="P88">
        <v>0.20125999999999999</v>
      </c>
      <c r="Q88">
        <v>19</v>
      </c>
      <c r="R88">
        <v>5.8495999999999999E-2</v>
      </c>
      <c r="S88">
        <v>6.6993E-3</v>
      </c>
      <c r="T88">
        <v>0.14863999999999999</v>
      </c>
    </row>
    <row r="89" spans="1:20" x14ac:dyDescent="0.2">
      <c r="A89" t="s">
        <v>81</v>
      </c>
      <c r="B89" t="s">
        <v>71</v>
      </c>
      <c r="C89">
        <v>7</v>
      </c>
      <c r="D89">
        <v>5.6581000000000001E-3</v>
      </c>
      <c r="E89">
        <v>1E-4</v>
      </c>
      <c r="F89">
        <v>3.5035000000000001E-3</v>
      </c>
      <c r="G89">
        <v>0.99434</v>
      </c>
      <c r="H89">
        <v>1</v>
      </c>
      <c r="I89">
        <v>1</v>
      </c>
      <c r="J89">
        <v>1.1316E-2</v>
      </c>
      <c r="K89">
        <v>3.9995999999999999E-4</v>
      </c>
      <c r="L89">
        <v>2.8028000000000001E-2</v>
      </c>
      <c r="M89">
        <v>7</v>
      </c>
      <c r="N89">
        <v>1.1316E-2</v>
      </c>
      <c r="O89">
        <v>1.9997999999999999E-4</v>
      </c>
      <c r="P89">
        <v>5.9193999999999997E-2</v>
      </c>
      <c r="Q89">
        <v>0</v>
      </c>
      <c r="R89" t="s">
        <v>22</v>
      </c>
      <c r="S89" t="s">
        <v>22</v>
      </c>
      <c r="T89" t="s">
        <v>22</v>
      </c>
    </row>
    <row r="90" spans="1:20" x14ac:dyDescent="0.2">
      <c r="A90" t="s">
        <v>81</v>
      </c>
      <c r="B90" t="s">
        <v>80</v>
      </c>
      <c r="C90">
        <v>7</v>
      </c>
      <c r="D90">
        <v>5.8548000000000003E-3</v>
      </c>
      <c r="E90">
        <v>1E-4</v>
      </c>
      <c r="F90">
        <v>3.5035000000000001E-3</v>
      </c>
      <c r="G90">
        <v>0.99414999999999998</v>
      </c>
      <c r="H90">
        <v>1</v>
      </c>
      <c r="I90">
        <v>1</v>
      </c>
      <c r="J90">
        <v>1.171E-2</v>
      </c>
      <c r="K90">
        <v>4.9994999999999998E-4</v>
      </c>
      <c r="L90">
        <v>3.2531999999999998E-2</v>
      </c>
      <c r="M90">
        <v>7</v>
      </c>
      <c r="N90">
        <v>1.171E-2</v>
      </c>
      <c r="O90">
        <v>2.9996999999999999E-4</v>
      </c>
      <c r="P90">
        <v>5.9193999999999997E-2</v>
      </c>
      <c r="Q90">
        <v>0</v>
      </c>
      <c r="R90" t="s">
        <v>22</v>
      </c>
      <c r="S90" t="s">
        <v>22</v>
      </c>
      <c r="T90" t="s">
        <v>22</v>
      </c>
    </row>
    <row r="91" spans="1:20" x14ac:dyDescent="0.2">
      <c r="A91" t="s">
        <v>87</v>
      </c>
      <c r="B91" t="s">
        <v>82</v>
      </c>
      <c r="C91">
        <v>214</v>
      </c>
      <c r="D91">
        <v>0.45002999999999999</v>
      </c>
      <c r="E91">
        <v>1E-4</v>
      </c>
      <c r="F91">
        <v>1.4683999999999999E-2</v>
      </c>
      <c r="G91">
        <v>0.54996999999999996</v>
      </c>
      <c r="H91">
        <v>1</v>
      </c>
      <c r="I91">
        <v>1</v>
      </c>
      <c r="J91">
        <v>0.20383999999999999</v>
      </c>
      <c r="K91">
        <v>1E-4</v>
      </c>
      <c r="L91">
        <v>1.2848999999999999E-2</v>
      </c>
      <c r="M91">
        <v>121</v>
      </c>
      <c r="N91">
        <v>0.20757999999999999</v>
      </c>
      <c r="O91">
        <v>1E-4</v>
      </c>
      <c r="P91">
        <v>3.1597E-2</v>
      </c>
      <c r="Q91">
        <v>93</v>
      </c>
      <c r="R91">
        <v>0.19897000000000001</v>
      </c>
      <c r="S91">
        <v>2.9996999999999999E-4</v>
      </c>
      <c r="T91">
        <v>2.3397999999999999E-2</v>
      </c>
    </row>
    <row r="92" spans="1:20" x14ac:dyDescent="0.2">
      <c r="A92" t="s">
        <v>87</v>
      </c>
      <c r="B92" t="s">
        <v>52</v>
      </c>
      <c r="C92">
        <v>182</v>
      </c>
      <c r="D92">
        <v>0.70809</v>
      </c>
      <c r="E92">
        <v>1</v>
      </c>
      <c r="F92">
        <v>1</v>
      </c>
      <c r="G92">
        <v>0.29191</v>
      </c>
      <c r="H92">
        <v>1E-4</v>
      </c>
      <c r="I92">
        <v>3.9535000000000004E-3</v>
      </c>
      <c r="J92">
        <v>0.22084000000000001</v>
      </c>
      <c r="K92">
        <v>1E-4</v>
      </c>
      <c r="L92">
        <v>1.2848999999999999E-2</v>
      </c>
      <c r="M92">
        <v>50</v>
      </c>
      <c r="N92">
        <v>0.33939000000000002</v>
      </c>
      <c r="O92">
        <v>0.54605000000000004</v>
      </c>
      <c r="P92">
        <v>1</v>
      </c>
      <c r="Q92">
        <v>132</v>
      </c>
      <c r="R92">
        <v>0.17594000000000001</v>
      </c>
      <c r="S92">
        <v>1E-4</v>
      </c>
      <c r="T92">
        <v>1.1266E-2</v>
      </c>
    </row>
    <row r="93" spans="1:20" x14ac:dyDescent="0.2">
      <c r="A93" t="s">
        <v>87</v>
      </c>
      <c r="B93" t="s">
        <v>64</v>
      </c>
      <c r="C93">
        <v>210</v>
      </c>
      <c r="D93">
        <v>0.74968000000000001</v>
      </c>
      <c r="E93">
        <v>1</v>
      </c>
      <c r="F93">
        <v>1</v>
      </c>
      <c r="G93">
        <v>0.25031999999999999</v>
      </c>
      <c r="H93">
        <v>1E-4</v>
      </c>
      <c r="I93">
        <v>3.9535000000000004E-3</v>
      </c>
      <c r="J93">
        <v>0.23452000000000001</v>
      </c>
      <c r="K93">
        <v>1E-4</v>
      </c>
      <c r="L93">
        <v>1.2848999999999999E-2</v>
      </c>
      <c r="M93">
        <v>44</v>
      </c>
      <c r="N93">
        <v>0.36495</v>
      </c>
      <c r="O93">
        <v>0.75102000000000002</v>
      </c>
      <c r="P93">
        <v>1</v>
      </c>
      <c r="Q93">
        <v>166</v>
      </c>
      <c r="R93">
        <v>0.19994999999999999</v>
      </c>
      <c r="S93">
        <v>1E-4</v>
      </c>
      <c r="T93">
        <v>1.1266E-2</v>
      </c>
    </row>
    <row r="94" spans="1:20" x14ac:dyDescent="0.2">
      <c r="A94" t="s">
        <v>87</v>
      </c>
      <c r="B94" t="s">
        <v>83</v>
      </c>
      <c r="C94">
        <v>26</v>
      </c>
      <c r="D94">
        <v>0.40115000000000001</v>
      </c>
      <c r="E94">
        <v>7.1992999999999996E-3</v>
      </c>
      <c r="F94">
        <v>0.17866000000000001</v>
      </c>
      <c r="G94">
        <v>0.59884999999999999</v>
      </c>
      <c r="H94">
        <v>0.9929</v>
      </c>
      <c r="I94">
        <v>1</v>
      </c>
      <c r="J94">
        <v>9.8844000000000001E-2</v>
      </c>
      <c r="K94">
        <v>1E-4</v>
      </c>
      <c r="L94">
        <v>1.2848999999999999E-2</v>
      </c>
      <c r="M94">
        <v>16</v>
      </c>
      <c r="N94">
        <v>0.10718999999999999</v>
      </c>
      <c r="O94">
        <v>1E-4</v>
      </c>
      <c r="P94">
        <v>3.1597E-2</v>
      </c>
      <c r="Q94">
        <v>10</v>
      </c>
      <c r="R94">
        <v>8.5496000000000003E-2</v>
      </c>
      <c r="S94">
        <v>8.9990999999999997E-4</v>
      </c>
      <c r="T94">
        <v>4.8027E-2</v>
      </c>
    </row>
    <row r="95" spans="1:20" x14ac:dyDescent="0.2">
      <c r="A95" t="s">
        <v>87</v>
      </c>
      <c r="B95" t="s">
        <v>62</v>
      </c>
      <c r="C95">
        <v>19</v>
      </c>
      <c r="D95">
        <v>0.91922000000000004</v>
      </c>
      <c r="E95">
        <v>1</v>
      </c>
      <c r="F95">
        <v>1</v>
      </c>
      <c r="G95">
        <v>8.0778000000000003E-2</v>
      </c>
      <c r="H95">
        <v>1E-4</v>
      </c>
      <c r="I95">
        <v>3.9535000000000004E-3</v>
      </c>
      <c r="J95">
        <v>8.6539000000000005E-2</v>
      </c>
      <c r="K95">
        <v>1E-4</v>
      </c>
      <c r="L95">
        <v>1.2848999999999999E-2</v>
      </c>
      <c r="M95">
        <v>1</v>
      </c>
      <c r="N95">
        <v>0.28732999999999997</v>
      </c>
      <c r="O95">
        <v>0.56213999999999997</v>
      </c>
      <c r="P95">
        <v>1</v>
      </c>
      <c r="Q95">
        <v>18</v>
      </c>
      <c r="R95">
        <v>7.5384000000000007E-2</v>
      </c>
      <c r="S95">
        <v>1E-4</v>
      </c>
      <c r="T95">
        <v>1.1266E-2</v>
      </c>
    </row>
    <row r="96" spans="1:20" x14ac:dyDescent="0.2">
      <c r="A96" t="s">
        <v>87</v>
      </c>
      <c r="B96" t="s">
        <v>68</v>
      </c>
      <c r="C96">
        <v>5</v>
      </c>
      <c r="D96">
        <v>0.98607</v>
      </c>
      <c r="E96">
        <v>1</v>
      </c>
      <c r="F96">
        <v>1</v>
      </c>
      <c r="G96">
        <v>1.3932999999999999E-2</v>
      </c>
      <c r="H96">
        <v>1E-4</v>
      </c>
      <c r="I96">
        <v>3.9535000000000004E-3</v>
      </c>
      <c r="J96">
        <v>2.7865000000000001E-2</v>
      </c>
      <c r="K96">
        <v>1E-4</v>
      </c>
      <c r="L96">
        <v>1.2848999999999999E-2</v>
      </c>
      <c r="M96">
        <v>0</v>
      </c>
      <c r="N96" t="s">
        <v>22</v>
      </c>
      <c r="O96" t="s">
        <v>22</v>
      </c>
      <c r="P96" t="s">
        <v>22</v>
      </c>
      <c r="Q96">
        <v>5</v>
      </c>
      <c r="R96">
        <v>2.7865000000000001E-2</v>
      </c>
      <c r="S96">
        <v>1E-4</v>
      </c>
      <c r="T96">
        <v>1.1266E-2</v>
      </c>
    </row>
    <row r="97" spans="1:20" x14ac:dyDescent="0.2">
      <c r="A97" t="s">
        <v>87</v>
      </c>
      <c r="B97" t="s">
        <v>69</v>
      </c>
      <c r="C97">
        <v>5</v>
      </c>
      <c r="D97">
        <v>0.98607</v>
      </c>
      <c r="E97">
        <v>1</v>
      </c>
      <c r="F97">
        <v>1</v>
      </c>
      <c r="G97">
        <v>1.3932999999999999E-2</v>
      </c>
      <c r="H97">
        <v>1E-4</v>
      </c>
      <c r="I97">
        <v>3.9535000000000004E-3</v>
      </c>
      <c r="J97">
        <v>2.7865000000000001E-2</v>
      </c>
      <c r="K97">
        <v>1E-4</v>
      </c>
      <c r="L97">
        <v>1.2848999999999999E-2</v>
      </c>
      <c r="M97">
        <v>0</v>
      </c>
      <c r="N97" t="s">
        <v>22</v>
      </c>
      <c r="O97" t="s">
        <v>22</v>
      </c>
      <c r="P97" t="s">
        <v>22</v>
      </c>
      <c r="Q97">
        <v>5</v>
      </c>
      <c r="R97">
        <v>2.7865000000000001E-2</v>
      </c>
      <c r="S97">
        <v>1E-4</v>
      </c>
      <c r="T97">
        <v>1.1266E-2</v>
      </c>
    </row>
    <row r="98" spans="1:20" x14ac:dyDescent="0.2">
      <c r="A98" t="s">
        <v>87</v>
      </c>
      <c r="B98" t="s">
        <v>70</v>
      </c>
      <c r="C98">
        <v>5</v>
      </c>
      <c r="D98">
        <v>0.98607</v>
      </c>
      <c r="E98">
        <v>1</v>
      </c>
      <c r="F98">
        <v>1</v>
      </c>
      <c r="G98">
        <v>1.3932999999999999E-2</v>
      </c>
      <c r="H98">
        <v>1E-4</v>
      </c>
      <c r="I98">
        <v>3.9535000000000004E-3</v>
      </c>
      <c r="J98">
        <v>2.7865000000000001E-2</v>
      </c>
      <c r="K98">
        <v>1E-4</v>
      </c>
      <c r="L98">
        <v>1.2848999999999999E-2</v>
      </c>
      <c r="M98">
        <v>0</v>
      </c>
      <c r="N98" t="s">
        <v>22</v>
      </c>
      <c r="O98" t="s">
        <v>22</v>
      </c>
      <c r="P98" t="s">
        <v>22</v>
      </c>
      <c r="Q98">
        <v>5</v>
      </c>
      <c r="R98">
        <v>2.7865000000000001E-2</v>
      </c>
      <c r="S98">
        <v>1E-4</v>
      </c>
      <c r="T98">
        <v>1.1266E-2</v>
      </c>
    </row>
    <row r="99" spans="1:20" x14ac:dyDescent="0.2">
      <c r="A99" t="s">
        <v>87</v>
      </c>
      <c r="B99" t="s">
        <v>66</v>
      </c>
      <c r="C99">
        <v>12</v>
      </c>
      <c r="D99">
        <v>0.89939000000000002</v>
      </c>
      <c r="E99">
        <v>0.99970000000000003</v>
      </c>
      <c r="F99">
        <v>1</v>
      </c>
      <c r="G99">
        <v>0.10061</v>
      </c>
      <c r="H99">
        <v>3.9995999999999999E-4</v>
      </c>
      <c r="I99">
        <v>1.1747E-2</v>
      </c>
      <c r="J99">
        <v>6.1634000000000001E-2</v>
      </c>
      <c r="K99">
        <v>1.9997999999999999E-4</v>
      </c>
      <c r="L99">
        <v>1.8689000000000001E-2</v>
      </c>
      <c r="M99">
        <v>1</v>
      </c>
      <c r="N99">
        <v>0.16247</v>
      </c>
      <c r="O99">
        <v>0.37706000000000001</v>
      </c>
      <c r="P99">
        <v>1</v>
      </c>
      <c r="Q99">
        <v>11</v>
      </c>
      <c r="R99">
        <v>5.2467E-2</v>
      </c>
      <c r="S99">
        <v>1E-4</v>
      </c>
      <c r="T99">
        <v>1.1266E-2</v>
      </c>
    </row>
    <row r="100" spans="1:20" x14ac:dyDescent="0.2">
      <c r="A100" t="s">
        <v>87</v>
      </c>
      <c r="B100" t="s">
        <v>84</v>
      </c>
      <c r="C100">
        <v>5</v>
      </c>
      <c r="D100">
        <v>0.97950000000000004</v>
      </c>
      <c r="E100">
        <v>1</v>
      </c>
      <c r="F100">
        <v>1</v>
      </c>
      <c r="G100">
        <v>2.0504999999999999E-2</v>
      </c>
      <c r="H100">
        <v>1E-4</v>
      </c>
      <c r="I100">
        <v>3.9535000000000004E-3</v>
      </c>
      <c r="J100">
        <v>4.1009999999999998E-2</v>
      </c>
      <c r="K100">
        <v>1.9997999999999999E-4</v>
      </c>
      <c r="L100">
        <v>1.8689000000000001E-2</v>
      </c>
      <c r="M100">
        <v>0</v>
      </c>
      <c r="N100" t="s">
        <v>22</v>
      </c>
      <c r="O100" t="s">
        <v>22</v>
      </c>
      <c r="P100" t="s">
        <v>22</v>
      </c>
      <c r="Q100">
        <v>5</v>
      </c>
      <c r="R100">
        <v>4.1009999999999998E-2</v>
      </c>
      <c r="S100">
        <v>6.9992999999999997E-4</v>
      </c>
      <c r="T100">
        <v>3.9428999999999999E-2</v>
      </c>
    </row>
    <row r="101" spans="1:20" x14ac:dyDescent="0.2">
      <c r="A101" t="s">
        <v>87</v>
      </c>
      <c r="B101" t="s">
        <v>63</v>
      </c>
      <c r="C101">
        <v>6</v>
      </c>
      <c r="D101">
        <v>0.82347999999999999</v>
      </c>
      <c r="E101">
        <v>0.95850000000000002</v>
      </c>
      <c r="F101">
        <v>1</v>
      </c>
      <c r="G101">
        <v>0.17652000000000001</v>
      </c>
      <c r="H101">
        <v>4.1596000000000001E-2</v>
      </c>
      <c r="I101">
        <v>0.21487999999999999</v>
      </c>
      <c r="J101">
        <v>2.6738999999999999E-2</v>
      </c>
      <c r="K101">
        <v>1.9997999999999999E-4</v>
      </c>
      <c r="L101">
        <v>1.8689000000000001E-2</v>
      </c>
      <c r="M101">
        <v>1</v>
      </c>
      <c r="N101">
        <v>2.1104000000000001E-2</v>
      </c>
      <c r="O101">
        <v>4.7695000000000001E-2</v>
      </c>
      <c r="P101">
        <v>0.75677000000000005</v>
      </c>
      <c r="Q101">
        <v>5</v>
      </c>
      <c r="R101">
        <v>2.7865000000000001E-2</v>
      </c>
      <c r="S101">
        <v>1E-4</v>
      </c>
      <c r="T101">
        <v>1.1266E-2</v>
      </c>
    </row>
    <row r="102" spans="1:20" x14ac:dyDescent="0.2">
      <c r="A102" t="s">
        <v>87</v>
      </c>
      <c r="B102" t="s">
        <v>58</v>
      </c>
      <c r="C102">
        <v>26</v>
      </c>
      <c r="D102">
        <v>0.90239999999999998</v>
      </c>
      <c r="E102">
        <v>1</v>
      </c>
      <c r="F102">
        <v>1</v>
      </c>
      <c r="G102">
        <v>9.7597000000000003E-2</v>
      </c>
      <c r="H102">
        <v>1E-4</v>
      </c>
      <c r="I102">
        <v>3.9535000000000004E-3</v>
      </c>
      <c r="J102">
        <v>0.14027000000000001</v>
      </c>
      <c r="K102">
        <v>4.9994999999999998E-4</v>
      </c>
      <c r="L102">
        <v>4.2828999999999999E-2</v>
      </c>
      <c r="M102">
        <v>1</v>
      </c>
      <c r="N102">
        <v>0.28598000000000001</v>
      </c>
      <c r="O102">
        <v>0.55944000000000005</v>
      </c>
      <c r="P102">
        <v>1</v>
      </c>
      <c r="Q102">
        <v>25</v>
      </c>
      <c r="R102">
        <v>0.13444</v>
      </c>
      <c r="S102">
        <v>3.9995999999999999E-4</v>
      </c>
      <c r="T102">
        <v>2.7036999999999999E-2</v>
      </c>
    </row>
    <row r="103" spans="1:20" x14ac:dyDescent="0.2">
      <c r="A103" t="s">
        <v>87</v>
      </c>
      <c r="B103" t="s">
        <v>85</v>
      </c>
      <c r="C103">
        <v>45</v>
      </c>
      <c r="D103">
        <v>0.53529000000000004</v>
      </c>
      <c r="E103">
        <v>0.22588</v>
      </c>
      <c r="F103">
        <v>0.87388999999999994</v>
      </c>
      <c r="G103">
        <v>0.46471000000000001</v>
      </c>
      <c r="H103">
        <v>0.77422000000000002</v>
      </c>
      <c r="I103">
        <v>1</v>
      </c>
      <c r="J103">
        <v>0.18243000000000001</v>
      </c>
      <c r="K103">
        <v>5.9993999999999998E-4</v>
      </c>
      <c r="L103">
        <v>4.7440999999999997E-2</v>
      </c>
      <c r="M103">
        <v>21</v>
      </c>
      <c r="N103">
        <v>0.19964999999999999</v>
      </c>
      <c r="O103">
        <v>8.0992000000000008E-3</v>
      </c>
      <c r="P103">
        <v>0.27422000000000002</v>
      </c>
      <c r="Q103">
        <v>24</v>
      </c>
      <c r="R103">
        <v>0.16736000000000001</v>
      </c>
      <c r="S103">
        <v>8.4992000000000002E-3</v>
      </c>
      <c r="T103">
        <v>0.19836999999999999</v>
      </c>
    </row>
    <row r="104" spans="1:20" x14ac:dyDescent="0.2">
      <c r="A104" t="s">
        <v>87</v>
      </c>
      <c r="B104" t="s">
        <v>86</v>
      </c>
      <c r="C104">
        <v>37</v>
      </c>
      <c r="D104">
        <v>0.77178999999999998</v>
      </c>
      <c r="E104">
        <v>0.99990000000000001</v>
      </c>
      <c r="F104">
        <v>1</v>
      </c>
      <c r="G104">
        <v>0.22821</v>
      </c>
      <c r="H104">
        <v>1.9997999999999999E-4</v>
      </c>
      <c r="I104">
        <v>6.8526000000000004E-3</v>
      </c>
      <c r="J104">
        <v>0.17741999999999999</v>
      </c>
      <c r="K104">
        <v>6.9992999999999997E-4</v>
      </c>
      <c r="L104">
        <v>4.7968999999999998E-2</v>
      </c>
      <c r="M104">
        <v>6</v>
      </c>
      <c r="N104">
        <v>0.13975000000000001</v>
      </c>
      <c r="O104">
        <v>3.4396999999999997E-2</v>
      </c>
      <c r="P104">
        <v>0.70887</v>
      </c>
      <c r="Q104">
        <v>31</v>
      </c>
      <c r="R104">
        <v>0.18471000000000001</v>
      </c>
      <c r="S104">
        <v>9.9989999999999992E-3</v>
      </c>
      <c r="T104">
        <v>0.1988</v>
      </c>
    </row>
    <row r="105" spans="1:20" x14ac:dyDescent="0.2">
      <c r="A105" t="s">
        <v>87</v>
      </c>
      <c r="B105" t="s">
        <v>75</v>
      </c>
      <c r="C105">
        <v>12</v>
      </c>
      <c r="D105">
        <v>0.73336999999999997</v>
      </c>
      <c r="E105">
        <v>0.93310999999999999</v>
      </c>
      <c r="F105">
        <v>1</v>
      </c>
      <c r="G105">
        <v>0.26662999999999998</v>
      </c>
      <c r="H105">
        <v>6.6992999999999997E-2</v>
      </c>
      <c r="I105">
        <v>0.26285999999999998</v>
      </c>
      <c r="J105">
        <v>9.3918000000000001E-2</v>
      </c>
      <c r="K105">
        <v>6.9992999999999997E-4</v>
      </c>
      <c r="L105">
        <v>4.7968999999999998E-2</v>
      </c>
      <c r="M105">
        <v>3</v>
      </c>
      <c r="N105">
        <v>0.12131</v>
      </c>
      <c r="O105">
        <v>8.2491999999999996E-2</v>
      </c>
      <c r="P105">
        <v>0.89888000000000001</v>
      </c>
      <c r="Q105">
        <v>9</v>
      </c>
      <c r="R105">
        <v>8.4786E-2</v>
      </c>
      <c r="S105">
        <v>1.6998E-3</v>
      </c>
      <c r="T105">
        <v>8.6180999999999994E-2</v>
      </c>
    </row>
    <row r="106" spans="1:20" x14ac:dyDescent="0.2">
      <c r="A106" t="s">
        <v>91</v>
      </c>
      <c r="B106" t="s">
        <v>88</v>
      </c>
      <c r="C106">
        <v>5</v>
      </c>
      <c r="D106">
        <v>0.96179999999999999</v>
      </c>
      <c r="E106">
        <v>1</v>
      </c>
      <c r="F106">
        <v>1</v>
      </c>
      <c r="G106">
        <v>3.8200999999999999E-2</v>
      </c>
      <c r="H106">
        <v>1E-4</v>
      </c>
      <c r="I106">
        <v>1.6688999999999999E-2</v>
      </c>
      <c r="J106">
        <v>7.6400999999999997E-2</v>
      </c>
      <c r="K106">
        <v>1E-4</v>
      </c>
      <c r="L106">
        <v>3.0596999999999999E-2</v>
      </c>
      <c r="M106">
        <v>0</v>
      </c>
      <c r="N106" t="s">
        <v>22</v>
      </c>
      <c r="O106" t="s">
        <v>22</v>
      </c>
      <c r="P106" t="s">
        <v>22</v>
      </c>
      <c r="Q106">
        <v>5</v>
      </c>
      <c r="R106">
        <v>7.6400999999999997E-2</v>
      </c>
      <c r="S106">
        <v>1E-4</v>
      </c>
      <c r="T106">
        <v>3.0464000000000001E-2</v>
      </c>
    </row>
    <row r="107" spans="1:20" x14ac:dyDescent="0.2">
      <c r="A107" t="s">
        <v>91</v>
      </c>
      <c r="B107" t="s">
        <v>89</v>
      </c>
      <c r="C107">
        <v>6</v>
      </c>
      <c r="D107">
        <v>0.96379000000000004</v>
      </c>
      <c r="E107">
        <v>1</v>
      </c>
      <c r="F107">
        <v>1</v>
      </c>
      <c r="G107">
        <v>3.6209999999999999E-2</v>
      </c>
      <c r="H107">
        <v>1E-4</v>
      </c>
      <c r="I107">
        <v>1.6688999999999999E-2</v>
      </c>
      <c r="J107">
        <v>7.2419999999999998E-2</v>
      </c>
      <c r="K107">
        <v>1E-4</v>
      </c>
      <c r="L107">
        <v>3.0596999999999999E-2</v>
      </c>
      <c r="M107">
        <v>0</v>
      </c>
      <c r="N107" t="s">
        <v>22</v>
      </c>
      <c r="O107" t="s">
        <v>22</v>
      </c>
      <c r="P107" t="s">
        <v>22</v>
      </c>
      <c r="Q107">
        <v>6</v>
      </c>
      <c r="R107">
        <v>7.2419999999999998E-2</v>
      </c>
      <c r="S107">
        <v>1E-4</v>
      </c>
      <c r="T107">
        <v>3.0464000000000001E-2</v>
      </c>
    </row>
    <row r="108" spans="1:20" x14ac:dyDescent="0.2">
      <c r="A108" t="s">
        <v>91</v>
      </c>
      <c r="B108" t="s">
        <v>90</v>
      </c>
      <c r="C108">
        <v>5</v>
      </c>
      <c r="D108">
        <v>0.96179999999999999</v>
      </c>
      <c r="E108">
        <v>1</v>
      </c>
      <c r="F108">
        <v>1</v>
      </c>
      <c r="G108">
        <v>3.8200999999999999E-2</v>
      </c>
      <c r="H108">
        <v>1E-4</v>
      </c>
      <c r="I108">
        <v>1.6688999999999999E-2</v>
      </c>
      <c r="J108">
        <v>7.6400999999999997E-2</v>
      </c>
      <c r="K108">
        <v>1E-4</v>
      </c>
      <c r="L108">
        <v>3.0596999999999999E-2</v>
      </c>
      <c r="M108">
        <v>0</v>
      </c>
      <c r="N108" t="s">
        <v>22</v>
      </c>
      <c r="O108" t="s">
        <v>22</v>
      </c>
      <c r="P108" t="s">
        <v>22</v>
      </c>
      <c r="Q108">
        <v>5</v>
      </c>
      <c r="R108">
        <v>7.6400999999999997E-2</v>
      </c>
      <c r="S108">
        <v>1E-4</v>
      </c>
      <c r="T108">
        <v>3.0464000000000001E-2</v>
      </c>
    </row>
    <row r="109" spans="1:20" x14ac:dyDescent="0.2">
      <c r="A109" t="s">
        <v>102</v>
      </c>
      <c r="B109" t="s">
        <v>56</v>
      </c>
      <c r="C109">
        <v>20</v>
      </c>
      <c r="D109">
        <v>0.84269000000000005</v>
      </c>
      <c r="E109">
        <v>1</v>
      </c>
      <c r="F109">
        <v>1</v>
      </c>
      <c r="G109">
        <v>0.15731000000000001</v>
      </c>
      <c r="H109">
        <v>1E-4</v>
      </c>
      <c r="I109">
        <v>1.9345E-3</v>
      </c>
      <c r="J109">
        <v>1.7821E-2</v>
      </c>
      <c r="K109">
        <v>1E-4</v>
      </c>
      <c r="L109">
        <v>7.2915999999999996E-3</v>
      </c>
      <c r="M109">
        <v>3</v>
      </c>
      <c r="N109">
        <v>1.0692999999999999E-2</v>
      </c>
      <c r="O109">
        <v>5.6994000000000003E-3</v>
      </c>
      <c r="P109">
        <v>0.26380999999999999</v>
      </c>
      <c r="Q109">
        <v>17</v>
      </c>
      <c r="R109">
        <v>1.9078999999999999E-2</v>
      </c>
      <c r="S109">
        <v>1E-4</v>
      </c>
      <c r="T109">
        <v>6.0147999999999998E-3</v>
      </c>
    </row>
    <row r="110" spans="1:20" x14ac:dyDescent="0.2">
      <c r="A110" t="s">
        <v>102</v>
      </c>
      <c r="B110" t="s">
        <v>27</v>
      </c>
      <c r="C110">
        <v>183</v>
      </c>
      <c r="D110">
        <v>0.93250999999999995</v>
      </c>
      <c r="E110">
        <v>1</v>
      </c>
      <c r="F110">
        <v>1</v>
      </c>
      <c r="G110">
        <v>6.7493999999999998E-2</v>
      </c>
      <c r="H110">
        <v>1E-4</v>
      </c>
      <c r="I110">
        <v>1.9345E-3</v>
      </c>
      <c r="J110">
        <v>5.0795E-2</v>
      </c>
      <c r="K110">
        <v>1E-4</v>
      </c>
      <c r="L110">
        <v>7.2915999999999996E-3</v>
      </c>
      <c r="M110">
        <v>11</v>
      </c>
      <c r="N110">
        <v>0.29966999999999999</v>
      </c>
      <c r="O110">
        <v>0.97729999999999995</v>
      </c>
      <c r="P110">
        <v>1</v>
      </c>
      <c r="Q110">
        <v>172</v>
      </c>
      <c r="R110">
        <v>3.4879E-2</v>
      </c>
      <c r="S110">
        <v>1E-4</v>
      </c>
      <c r="T110">
        <v>6.0147999999999998E-3</v>
      </c>
    </row>
    <row r="111" spans="1:20" x14ac:dyDescent="0.2">
      <c r="A111" t="s">
        <v>102</v>
      </c>
      <c r="B111" t="s">
        <v>26</v>
      </c>
      <c r="C111">
        <v>138</v>
      </c>
      <c r="D111">
        <v>0.96855000000000002</v>
      </c>
      <c r="E111">
        <v>1</v>
      </c>
      <c r="F111">
        <v>1</v>
      </c>
      <c r="G111">
        <v>3.1447999999999997E-2</v>
      </c>
      <c r="H111">
        <v>1E-4</v>
      </c>
      <c r="I111">
        <v>1.9345E-3</v>
      </c>
      <c r="J111">
        <v>3.2675000000000003E-2</v>
      </c>
      <c r="K111">
        <v>1E-4</v>
      </c>
      <c r="L111">
        <v>7.2915999999999996E-3</v>
      </c>
      <c r="M111">
        <v>3</v>
      </c>
      <c r="N111">
        <v>0.30492999999999998</v>
      </c>
      <c r="O111">
        <v>0.86251</v>
      </c>
      <c r="P111">
        <v>1</v>
      </c>
      <c r="Q111">
        <v>135</v>
      </c>
      <c r="R111">
        <v>2.6624999999999999E-2</v>
      </c>
      <c r="S111">
        <v>1E-4</v>
      </c>
      <c r="T111">
        <v>6.0147999999999998E-3</v>
      </c>
    </row>
    <row r="112" spans="1:20" x14ac:dyDescent="0.2">
      <c r="A112" t="s">
        <v>102</v>
      </c>
      <c r="B112" t="s">
        <v>25</v>
      </c>
      <c r="C112">
        <v>134</v>
      </c>
      <c r="D112">
        <v>0.96038000000000001</v>
      </c>
      <c r="E112">
        <v>1</v>
      </c>
      <c r="F112">
        <v>1</v>
      </c>
      <c r="G112">
        <v>3.9614999999999997E-2</v>
      </c>
      <c r="H112">
        <v>1E-4</v>
      </c>
      <c r="I112">
        <v>1.9345E-3</v>
      </c>
      <c r="J112">
        <v>3.3833000000000002E-2</v>
      </c>
      <c r="K112">
        <v>1E-4</v>
      </c>
      <c r="L112">
        <v>7.2915999999999996E-3</v>
      </c>
      <c r="M112">
        <v>4</v>
      </c>
      <c r="N112">
        <v>0.23959</v>
      </c>
      <c r="O112">
        <v>0.79332000000000003</v>
      </c>
      <c r="P112">
        <v>1</v>
      </c>
      <c r="Q112">
        <v>130</v>
      </c>
      <c r="R112">
        <v>2.7501999999999999E-2</v>
      </c>
      <c r="S112">
        <v>1E-4</v>
      </c>
      <c r="T112">
        <v>6.0147999999999998E-3</v>
      </c>
    </row>
    <row r="113" spans="1:20" x14ac:dyDescent="0.2">
      <c r="A113" t="s">
        <v>102</v>
      </c>
      <c r="B113" t="s">
        <v>30</v>
      </c>
      <c r="C113">
        <v>31</v>
      </c>
      <c r="D113">
        <v>0.99002999999999997</v>
      </c>
      <c r="E113">
        <v>1</v>
      </c>
      <c r="F113">
        <v>1</v>
      </c>
      <c r="G113">
        <v>9.9705000000000002E-3</v>
      </c>
      <c r="H113">
        <v>1E-4</v>
      </c>
      <c r="I113">
        <v>1.9345E-3</v>
      </c>
      <c r="J113">
        <v>1.9941E-2</v>
      </c>
      <c r="K113">
        <v>1E-4</v>
      </c>
      <c r="L113">
        <v>7.2915999999999996E-3</v>
      </c>
      <c r="M113">
        <v>0</v>
      </c>
      <c r="N113" t="s">
        <v>22</v>
      </c>
      <c r="O113" t="s">
        <v>22</v>
      </c>
      <c r="P113" t="s">
        <v>22</v>
      </c>
      <c r="Q113">
        <v>31</v>
      </c>
      <c r="R113">
        <v>1.9941E-2</v>
      </c>
      <c r="S113">
        <v>1E-4</v>
      </c>
      <c r="T113">
        <v>6.0147999999999998E-3</v>
      </c>
    </row>
    <row r="114" spans="1:20" x14ac:dyDescent="0.2">
      <c r="A114" t="s">
        <v>102</v>
      </c>
      <c r="B114" t="s">
        <v>28</v>
      </c>
      <c r="C114">
        <v>173</v>
      </c>
      <c r="D114">
        <v>0.82847000000000004</v>
      </c>
      <c r="E114">
        <v>1</v>
      </c>
      <c r="F114">
        <v>1</v>
      </c>
      <c r="G114">
        <v>0.17152999999999999</v>
      </c>
      <c r="H114">
        <v>1E-4</v>
      </c>
      <c r="I114">
        <v>1.9345E-3</v>
      </c>
      <c r="J114">
        <v>7.6779E-2</v>
      </c>
      <c r="K114">
        <v>1E-4</v>
      </c>
      <c r="L114">
        <v>7.2915999999999996E-3</v>
      </c>
      <c r="M114">
        <v>29</v>
      </c>
      <c r="N114">
        <v>0.20576</v>
      </c>
      <c r="O114">
        <v>0.90141000000000004</v>
      </c>
      <c r="P114">
        <v>1</v>
      </c>
      <c r="Q114">
        <v>144</v>
      </c>
      <c r="R114">
        <v>5.0804000000000002E-2</v>
      </c>
      <c r="S114">
        <v>1E-4</v>
      </c>
      <c r="T114">
        <v>6.0147999999999998E-3</v>
      </c>
    </row>
    <row r="115" spans="1:20" x14ac:dyDescent="0.2">
      <c r="A115" t="s">
        <v>102</v>
      </c>
      <c r="B115" t="s">
        <v>31</v>
      </c>
      <c r="C115">
        <v>12</v>
      </c>
      <c r="D115">
        <v>0.99414999999999998</v>
      </c>
      <c r="E115">
        <v>1</v>
      </c>
      <c r="F115">
        <v>1</v>
      </c>
      <c r="G115">
        <v>5.8453999999999997E-3</v>
      </c>
      <c r="H115">
        <v>1E-4</v>
      </c>
      <c r="I115">
        <v>1.9345E-3</v>
      </c>
      <c r="J115">
        <v>1.1691E-2</v>
      </c>
      <c r="K115">
        <v>1E-4</v>
      </c>
      <c r="L115">
        <v>7.2915999999999996E-3</v>
      </c>
      <c r="M115">
        <v>0</v>
      </c>
      <c r="N115" t="s">
        <v>22</v>
      </c>
      <c r="O115" t="s">
        <v>22</v>
      </c>
      <c r="P115" t="s">
        <v>22</v>
      </c>
      <c r="Q115">
        <v>12</v>
      </c>
      <c r="R115">
        <v>1.1691E-2</v>
      </c>
      <c r="S115">
        <v>1E-4</v>
      </c>
      <c r="T115">
        <v>6.0147999999999998E-3</v>
      </c>
    </row>
    <row r="116" spans="1:20" x14ac:dyDescent="0.2">
      <c r="A116" t="s">
        <v>102</v>
      </c>
      <c r="B116" t="s">
        <v>29</v>
      </c>
      <c r="C116">
        <v>44</v>
      </c>
      <c r="D116">
        <v>0.97455999999999998</v>
      </c>
      <c r="E116">
        <v>1</v>
      </c>
      <c r="F116">
        <v>1</v>
      </c>
      <c r="G116">
        <v>2.5436E-2</v>
      </c>
      <c r="H116">
        <v>1E-4</v>
      </c>
      <c r="I116">
        <v>1.9345E-3</v>
      </c>
      <c r="J116">
        <v>5.0871E-2</v>
      </c>
      <c r="K116">
        <v>1E-4</v>
      </c>
      <c r="L116">
        <v>7.2915999999999996E-3</v>
      </c>
      <c r="M116">
        <v>0</v>
      </c>
      <c r="N116" t="s">
        <v>22</v>
      </c>
      <c r="O116" t="s">
        <v>22</v>
      </c>
      <c r="P116" t="s">
        <v>22</v>
      </c>
      <c r="Q116">
        <v>44</v>
      </c>
      <c r="R116">
        <v>5.0871E-2</v>
      </c>
      <c r="S116">
        <v>1E-4</v>
      </c>
      <c r="T116">
        <v>6.0147999999999998E-3</v>
      </c>
    </row>
    <row r="117" spans="1:20" x14ac:dyDescent="0.2">
      <c r="A117" t="s">
        <v>102</v>
      </c>
      <c r="B117" t="s">
        <v>33</v>
      </c>
      <c r="C117">
        <v>19</v>
      </c>
      <c r="D117">
        <v>0.99434</v>
      </c>
      <c r="E117">
        <v>1</v>
      </c>
      <c r="F117">
        <v>1</v>
      </c>
      <c r="G117">
        <v>5.6572999999999997E-3</v>
      </c>
      <c r="H117">
        <v>1E-4</v>
      </c>
      <c r="I117">
        <v>1.9345E-3</v>
      </c>
      <c r="J117">
        <v>1.1315E-2</v>
      </c>
      <c r="K117">
        <v>1E-4</v>
      </c>
      <c r="L117">
        <v>7.2915999999999996E-3</v>
      </c>
      <c r="M117">
        <v>0</v>
      </c>
      <c r="N117" t="s">
        <v>22</v>
      </c>
      <c r="O117" t="s">
        <v>22</v>
      </c>
      <c r="P117" t="s">
        <v>22</v>
      </c>
      <c r="Q117">
        <v>19</v>
      </c>
      <c r="R117">
        <v>1.1315E-2</v>
      </c>
      <c r="S117">
        <v>1E-4</v>
      </c>
      <c r="T117">
        <v>6.0147999999999998E-3</v>
      </c>
    </row>
    <row r="118" spans="1:20" x14ac:dyDescent="0.2">
      <c r="A118" t="s">
        <v>102</v>
      </c>
      <c r="B118" t="s">
        <v>92</v>
      </c>
      <c r="C118">
        <v>40</v>
      </c>
      <c r="D118">
        <v>0.50310999999999995</v>
      </c>
      <c r="E118">
        <v>0.98850000000000005</v>
      </c>
      <c r="F118">
        <v>1</v>
      </c>
      <c r="G118">
        <v>0.49689</v>
      </c>
      <c r="H118">
        <v>1.1599E-2</v>
      </c>
      <c r="I118">
        <v>9.4791E-2</v>
      </c>
      <c r="J118">
        <v>5.7661999999999998E-2</v>
      </c>
      <c r="K118">
        <v>1E-4</v>
      </c>
      <c r="L118">
        <v>7.2915999999999996E-3</v>
      </c>
      <c r="M118">
        <v>20</v>
      </c>
      <c r="N118">
        <v>6.3877000000000003E-2</v>
      </c>
      <c r="O118">
        <v>1.2999E-2</v>
      </c>
      <c r="P118">
        <v>0.32636999999999999</v>
      </c>
      <c r="Q118">
        <v>20</v>
      </c>
      <c r="R118">
        <v>5.1445999999999999E-2</v>
      </c>
      <c r="S118">
        <v>1.2999000000000001E-3</v>
      </c>
      <c r="T118">
        <v>3.6304000000000003E-2</v>
      </c>
    </row>
    <row r="119" spans="1:20" x14ac:dyDescent="0.2">
      <c r="A119" t="s">
        <v>102</v>
      </c>
      <c r="B119" t="s">
        <v>23</v>
      </c>
      <c r="C119">
        <v>29</v>
      </c>
      <c r="D119">
        <v>0.9536</v>
      </c>
      <c r="E119">
        <v>1</v>
      </c>
      <c r="F119">
        <v>1</v>
      </c>
      <c r="G119">
        <v>4.6399000000000003E-2</v>
      </c>
      <c r="H119">
        <v>1E-4</v>
      </c>
      <c r="I119">
        <v>1.9345E-3</v>
      </c>
      <c r="J119">
        <v>2.6754E-2</v>
      </c>
      <c r="K119">
        <v>1E-4</v>
      </c>
      <c r="L119">
        <v>7.2915999999999996E-3</v>
      </c>
      <c r="M119">
        <v>1</v>
      </c>
      <c r="N119">
        <v>4.2362999999999998E-2</v>
      </c>
      <c r="O119">
        <v>0.41586000000000001</v>
      </c>
      <c r="P119">
        <v>0.99543000000000004</v>
      </c>
      <c r="Q119">
        <v>28</v>
      </c>
      <c r="R119">
        <v>2.6197000000000002E-2</v>
      </c>
      <c r="S119">
        <v>1E-4</v>
      </c>
      <c r="T119">
        <v>6.0147999999999998E-3</v>
      </c>
    </row>
    <row r="120" spans="1:20" x14ac:dyDescent="0.2">
      <c r="A120" t="s">
        <v>102</v>
      </c>
      <c r="B120" t="s">
        <v>93</v>
      </c>
      <c r="C120">
        <v>8</v>
      </c>
      <c r="D120">
        <v>0.62675000000000003</v>
      </c>
      <c r="E120">
        <v>0.96960000000000002</v>
      </c>
      <c r="F120">
        <v>1</v>
      </c>
      <c r="G120">
        <v>0.37325000000000003</v>
      </c>
      <c r="H120">
        <v>3.0497E-2</v>
      </c>
      <c r="I120">
        <v>0.19667000000000001</v>
      </c>
      <c r="J120">
        <v>1.244E-2</v>
      </c>
      <c r="K120">
        <v>1E-4</v>
      </c>
      <c r="L120">
        <v>7.2915999999999996E-3</v>
      </c>
      <c r="M120">
        <v>3</v>
      </c>
      <c r="N120">
        <v>2.1263000000000001E-2</v>
      </c>
      <c r="O120">
        <v>4.0495999999999997E-2</v>
      </c>
      <c r="P120">
        <v>0.47936000000000001</v>
      </c>
      <c r="Q120">
        <v>5</v>
      </c>
      <c r="R120">
        <v>7.1456000000000002E-3</v>
      </c>
      <c r="S120">
        <v>9.9989999999999996E-4</v>
      </c>
      <c r="T120">
        <v>3.2579999999999998E-2</v>
      </c>
    </row>
    <row r="121" spans="1:20" x14ac:dyDescent="0.2">
      <c r="A121" t="s">
        <v>102</v>
      </c>
      <c r="B121" t="s">
        <v>94</v>
      </c>
      <c r="C121">
        <v>7</v>
      </c>
      <c r="D121">
        <v>0.99624000000000001</v>
      </c>
      <c r="E121">
        <v>1</v>
      </c>
      <c r="F121">
        <v>1</v>
      </c>
      <c r="G121">
        <v>3.7558000000000001E-3</v>
      </c>
      <c r="H121">
        <v>1E-4</v>
      </c>
      <c r="I121">
        <v>1.9345E-3</v>
      </c>
      <c r="J121">
        <v>7.5116000000000002E-3</v>
      </c>
      <c r="K121">
        <v>1E-4</v>
      </c>
      <c r="L121">
        <v>7.2915999999999996E-3</v>
      </c>
      <c r="M121">
        <v>0</v>
      </c>
      <c r="N121" t="s">
        <v>22</v>
      </c>
      <c r="O121" t="s">
        <v>22</v>
      </c>
      <c r="P121" t="s">
        <v>22</v>
      </c>
      <c r="Q121">
        <v>7</v>
      </c>
      <c r="R121">
        <v>7.5116000000000002E-3</v>
      </c>
      <c r="S121">
        <v>2.9996999999999999E-4</v>
      </c>
      <c r="T121">
        <v>1.4661E-2</v>
      </c>
    </row>
    <row r="122" spans="1:20" x14ac:dyDescent="0.2">
      <c r="A122" t="s">
        <v>102</v>
      </c>
      <c r="B122" t="s">
        <v>36</v>
      </c>
      <c r="C122">
        <v>27</v>
      </c>
      <c r="D122">
        <v>5.7480000000000003E-2</v>
      </c>
      <c r="E122">
        <v>1E-4</v>
      </c>
      <c r="F122">
        <v>3.7916E-3</v>
      </c>
      <c r="G122">
        <v>0.94252000000000002</v>
      </c>
      <c r="H122">
        <v>1</v>
      </c>
      <c r="I122">
        <v>1</v>
      </c>
      <c r="J122">
        <v>4.4610999999999998E-2</v>
      </c>
      <c r="K122">
        <v>1.9997999999999999E-4</v>
      </c>
      <c r="L122">
        <v>1.1849E-2</v>
      </c>
      <c r="M122">
        <v>26</v>
      </c>
      <c r="N122">
        <v>4.4393000000000002E-2</v>
      </c>
      <c r="O122">
        <v>1.9997999999999999E-4</v>
      </c>
      <c r="P122">
        <v>6.1927000000000003E-2</v>
      </c>
      <c r="Q122">
        <v>1</v>
      </c>
      <c r="R122">
        <v>5.0303E-2</v>
      </c>
      <c r="S122">
        <v>0.44746000000000002</v>
      </c>
      <c r="T122">
        <v>1</v>
      </c>
    </row>
    <row r="123" spans="1:20" x14ac:dyDescent="0.2">
      <c r="A123" t="s">
        <v>102</v>
      </c>
      <c r="B123" t="s">
        <v>51</v>
      </c>
      <c r="C123">
        <v>11</v>
      </c>
      <c r="D123">
        <v>0.99024999999999996</v>
      </c>
      <c r="E123">
        <v>1</v>
      </c>
      <c r="F123">
        <v>1</v>
      </c>
      <c r="G123">
        <v>9.7459E-3</v>
      </c>
      <c r="H123">
        <v>1E-4</v>
      </c>
      <c r="I123">
        <v>1.9345E-3</v>
      </c>
      <c r="J123">
        <v>1.9491999999999999E-2</v>
      </c>
      <c r="K123">
        <v>1.9997999999999999E-4</v>
      </c>
      <c r="L123">
        <v>1.1849E-2</v>
      </c>
      <c r="M123">
        <v>0</v>
      </c>
      <c r="N123" t="s">
        <v>22</v>
      </c>
      <c r="O123" t="s">
        <v>22</v>
      </c>
      <c r="P123" t="s">
        <v>22</v>
      </c>
      <c r="Q123">
        <v>11</v>
      </c>
      <c r="R123">
        <v>1.9491999999999999E-2</v>
      </c>
      <c r="S123">
        <v>3.9995999999999999E-4</v>
      </c>
      <c r="T123">
        <v>1.5637999999999999E-2</v>
      </c>
    </row>
    <row r="124" spans="1:20" x14ac:dyDescent="0.2">
      <c r="A124" t="s">
        <v>102</v>
      </c>
      <c r="B124" t="s">
        <v>95</v>
      </c>
      <c r="C124">
        <v>16</v>
      </c>
      <c r="D124">
        <v>0.93110000000000004</v>
      </c>
      <c r="E124">
        <v>1</v>
      </c>
      <c r="F124">
        <v>1</v>
      </c>
      <c r="G124">
        <v>6.8904000000000007E-2</v>
      </c>
      <c r="H124">
        <v>1E-4</v>
      </c>
      <c r="I124">
        <v>1.9345E-3</v>
      </c>
      <c r="J124">
        <v>3.0335000000000001E-2</v>
      </c>
      <c r="K124">
        <v>1.9997999999999999E-4</v>
      </c>
      <c r="L124">
        <v>1.1849E-2</v>
      </c>
      <c r="M124">
        <v>1</v>
      </c>
      <c r="N124">
        <v>0.14021</v>
      </c>
      <c r="O124">
        <v>0.69943</v>
      </c>
      <c r="P124">
        <v>1</v>
      </c>
      <c r="Q124">
        <v>15</v>
      </c>
      <c r="R124">
        <v>2.3009999999999999E-2</v>
      </c>
      <c r="S124">
        <v>1E-4</v>
      </c>
      <c r="T124">
        <v>6.0147999999999998E-3</v>
      </c>
    </row>
    <row r="125" spans="1:20" x14ac:dyDescent="0.2">
      <c r="A125" t="s">
        <v>102</v>
      </c>
      <c r="B125" t="s">
        <v>96</v>
      </c>
      <c r="C125">
        <v>16</v>
      </c>
      <c r="D125">
        <v>7.8562000000000007E-2</v>
      </c>
      <c r="E125">
        <v>9.9989999999999996E-4</v>
      </c>
      <c r="F125">
        <v>1.6927000000000001E-2</v>
      </c>
      <c r="G125">
        <v>0.92144000000000004</v>
      </c>
      <c r="H125">
        <v>0.99909999999999999</v>
      </c>
      <c r="I125">
        <v>1</v>
      </c>
      <c r="J125">
        <v>3.4598999999999998E-2</v>
      </c>
      <c r="K125">
        <v>3.9995999999999999E-4</v>
      </c>
      <c r="L125">
        <v>2.1065E-2</v>
      </c>
      <c r="M125">
        <v>15</v>
      </c>
      <c r="N125">
        <v>3.5586E-2</v>
      </c>
      <c r="O125">
        <v>8.9990999999999997E-4</v>
      </c>
      <c r="P125">
        <v>0.11942999999999999</v>
      </c>
      <c r="Q125">
        <v>1</v>
      </c>
      <c r="R125">
        <v>1.9793999999999999E-2</v>
      </c>
      <c r="S125">
        <v>0.26867000000000002</v>
      </c>
      <c r="T125">
        <v>1</v>
      </c>
    </row>
    <row r="126" spans="1:20" x14ac:dyDescent="0.2">
      <c r="A126" t="s">
        <v>102</v>
      </c>
      <c r="B126" t="s">
        <v>97</v>
      </c>
      <c r="C126">
        <v>15</v>
      </c>
      <c r="D126">
        <v>0.92712000000000006</v>
      </c>
      <c r="E126">
        <v>1</v>
      </c>
      <c r="F126">
        <v>1</v>
      </c>
      <c r="G126">
        <v>7.2882000000000002E-2</v>
      </c>
      <c r="H126">
        <v>1E-4</v>
      </c>
      <c r="I126">
        <v>1.9345E-3</v>
      </c>
      <c r="J126">
        <v>3.1125E-2</v>
      </c>
      <c r="K126">
        <v>3.9995999999999999E-4</v>
      </c>
      <c r="L126">
        <v>2.1065E-2</v>
      </c>
      <c r="M126">
        <v>1</v>
      </c>
      <c r="N126">
        <v>0.14021</v>
      </c>
      <c r="O126">
        <v>0.69943</v>
      </c>
      <c r="P126">
        <v>1</v>
      </c>
      <c r="Q126">
        <v>14</v>
      </c>
      <c r="R126">
        <v>2.3333E-2</v>
      </c>
      <c r="S126">
        <v>1E-4</v>
      </c>
      <c r="T126">
        <v>6.0147999999999998E-3</v>
      </c>
    </row>
    <row r="127" spans="1:20" x14ac:dyDescent="0.2">
      <c r="A127" t="s">
        <v>102</v>
      </c>
      <c r="B127" t="s">
        <v>55</v>
      </c>
      <c r="C127">
        <v>20</v>
      </c>
      <c r="D127">
        <v>6.7336999999999994E-2</v>
      </c>
      <c r="E127">
        <v>2.9996999999999999E-4</v>
      </c>
      <c r="F127">
        <v>7.6857000000000002E-3</v>
      </c>
      <c r="G127">
        <v>0.93266000000000004</v>
      </c>
      <c r="H127">
        <v>0.99980000000000002</v>
      </c>
      <c r="I127">
        <v>1</v>
      </c>
      <c r="J127">
        <v>3.9053999999999998E-2</v>
      </c>
      <c r="K127">
        <v>4.9994999999999998E-4</v>
      </c>
      <c r="L127">
        <v>2.3698E-2</v>
      </c>
      <c r="M127">
        <v>19</v>
      </c>
      <c r="N127">
        <v>3.8802999999999997E-2</v>
      </c>
      <c r="O127">
        <v>6.9992999999999997E-4</v>
      </c>
      <c r="P127">
        <v>0.10836999999999999</v>
      </c>
      <c r="Q127">
        <v>1</v>
      </c>
      <c r="R127">
        <v>4.3804999999999997E-2</v>
      </c>
      <c r="S127">
        <v>0.42415999999999998</v>
      </c>
      <c r="T127">
        <v>1</v>
      </c>
    </row>
    <row r="128" spans="1:20" x14ac:dyDescent="0.2">
      <c r="A128" t="s">
        <v>102</v>
      </c>
      <c r="B128" t="s">
        <v>79</v>
      </c>
      <c r="C128">
        <v>8</v>
      </c>
      <c r="D128">
        <v>0.99065000000000003</v>
      </c>
      <c r="E128">
        <v>1</v>
      </c>
      <c r="F128">
        <v>1</v>
      </c>
      <c r="G128">
        <v>9.3477000000000005E-3</v>
      </c>
      <c r="H128">
        <v>1E-4</v>
      </c>
      <c r="I128">
        <v>1.9345E-3</v>
      </c>
      <c r="J128">
        <v>1.8695E-2</v>
      </c>
      <c r="K128">
        <v>4.9994999999999998E-4</v>
      </c>
      <c r="L128">
        <v>2.3698E-2</v>
      </c>
      <c r="M128">
        <v>0</v>
      </c>
      <c r="N128" t="s">
        <v>22</v>
      </c>
      <c r="O128" t="s">
        <v>22</v>
      </c>
      <c r="P128" t="s">
        <v>22</v>
      </c>
      <c r="Q128">
        <v>8</v>
      </c>
      <c r="R128">
        <v>1.8695E-2</v>
      </c>
      <c r="S128">
        <v>1.2999000000000001E-3</v>
      </c>
      <c r="T128">
        <v>3.6304000000000003E-2</v>
      </c>
    </row>
    <row r="129" spans="1:20" x14ac:dyDescent="0.2">
      <c r="A129" t="s">
        <v>102</v>
      </c>
      <c r="B129" t="s">
        <v>98</v>
      </c>
      <c r="C129">
        <v>11</v>
      </c>
      <c r="D129">
        <v>0.10082000000000001</v>
      </c>
      <c r="E129">
        <v>1.1199000000000001E-2</v>
      </c>
      <c r="F129">
        <v>7.2220999999999994E-2</v>
      </c>
      <c r="G129">
        <v>0.89917999999999998</v>
      </c>
      <c r="H129">
        <v>0.9889</v>
      </c>
      <c r="I129">
        <v>1</v>
      </c>
      <c r="J129">
        <v>2.3321000000000001E-2</v>
      </c>
      <c r="K129">
        <v>5.9993999999999998E-4</v>
      </c>
      <c r="L129">
        <v>2.4728E-2</v>
      </c>
      <c r="M129">
        <v>10</v>
      </c>
      <c r="N129">
        <v>2.3734000000000002E-2</v>
      </c>
      <c r="O129">
        <v>6.9992999999999997E-4</v>
      </c>
      <c r="P129">
        <v>0.10836999999999999</v>
      </c>
      <c r="Q129">
        <v>1</v>
      </c>
      <c r="R129">
        <v>1.9198E-2</v>
      </c>
      <c r="S129">
        <v>0.26157000000000002</v>
      </c>
      <c r="T129">
        <v>1</v>
      </c>
    </row>
    <row r="130" spans="1:20" x14ac:dyDescent="0.2">
      <c r="A130" t="s">
        <v>102</v>
      </c>
      <c r="B130" t="s">
        <v>24</v>
      </c>
      <c r="C130">
        <v>13</v>
      </c>
      <c r="D130">
        <v>0.68928</v>
      </c>
      <c r="E130">
        <v>0.99870000000000003</v>
      </c>
      <c r="F130">
        <v>1</v>
      </c>
      <c r="G130">
        <v>0.31072</v>
      </c>
      <c r="H130">
        <v>1.3998999999999999E-3</v>
      </c>
      <c r="I130">
        <v>1.7014000000000001E-2</v>
      </c>
      <c r="J130">
        <v>2.886E-2</v>
      </c>
      <c r="K130">
        <v>5.9993999999999998E-4</v>
      </c>
      <c r="L130">
        <v>2.4728E-2</v>
      </c>
      <c r="M130">
        <v>4</v>
      </c>
      <c r="N130">
        <v>3.7060999999999997E-2</v>
      </c>
      <c r="O130">
        <v>8.7390999999999996E-2</v>
      </c>
      <c r="P130">
        <v>0.69389999999999996</v>
      </c>
      <c r="Q130">
        <v>9</v>
      </c>
      <c r="R130">
        <v>2.5215999999999999E-2</v>
      </c>
      <c r="S130">
        <v>2.6997000000000002E-3</v>
      </c>
      <c r="T130">
        <v>6.0319999999999999E-2</v>
      </c>
    </row>
    <row r="131" spans="1:20" x14ac:dyDescent="0.2">
      <c r="A131" t="s">
        <v>102</v>
      </c>
      <c r="B131" t="s">
        <v>80</v>
      </c>
      <c r="C131">
        <v>7</v>
      </c>
      <c r="D131">
        <v>7.5595000000000002E-3</v>
      </c>
      <c r="E131">
        <v>1E-4</v>
      </c>
      <c r="F131">
        <v>3.7916E-3</v>
      </c>
      <c r="G131">
        <v>0.99243999999999999</v>
      </c>
      <c r="H131">
        <v>1</v>
      </c>
      <c r="I131">
        <v>1</v>
      </c>
      <c r="J131">
        <v>1.5119E-2</v>
      </c>
      <c r="K131">
        <v>5.9993999999999998E-4</v>
      </c>
      <c r="L131">
        <v>2.4728E-2</v>
      </c>
      <c r="M131">
        <v>7</v>
      </c>
      <c r="N131">
        <v>1.5119E-2</v>
      </c>
      <c r="O131">
        <v>1.9997999999999999E-4</v>
      </c>
      <c r="P131">
        <v>6.1927000000000003E-2</v>
      </c>
      <c r="Q131">
        <v>0</v>
      </c>
      <c r="R131" t="s">
        <v>22</v>
      </c>
      <c r="S131" t="s">
        <v>22</v>
      </c>
      <c r="T131" t="s">
        <v>22</v>
      </c>
    </row>
    <row r="132" spans="1:20" x14ac:dyDescent="0.2">
      <c r="A132" t="s">
        <v>102</v>
      </c>
      <c r="B132" t="s">
        <v>19</v>
      </c>
      <c r="C132">
        <v>51</v>
      </c>
      <c r="D132">
        <v>3.9823999999999998E-2</v>
      </c>
      <c r="E132">
        <v>1E-4</v>
      </c>
      <c r="F132">
        <v>3.7916E-3</v>
      </c>
      <c r="G132">
        <v>0.96018000000000003</v>
      </c>
      <c r="H132">
        <v>1</v>
      </c>
      <c r="I132">
        <v>1</v>
      </c>
      <c r="J132">
        <v>7.9646999999999996E-2</v>
      </c>
      <c r="K132">
        <v>6.9992999999999997E-4</v>
      </c>
      <c r="L132">
        <v>2.5520999999999999E-2</v>
      </c>
      <c r="M132">
        <v>51</v>
      </c>
      <c r="N132">
        <v>7.9646999999999996E-2</v>
      </c>
      <c r="O132">
        <v>2.4997999999999999E-3</v>
      </c>
      <c r="P132">
        <v>0.20125999999999999</v>
      </c>
      <c r="Q132">
        <v>0</v>
      </c>
      <c r="R132" t="s">
        <v>22</v>
      </c>
      <c r="S132" t="s">
        <v>22</v>
      </c>
      <c r="T132" t="s">
        <v>22</v>
      </c>
    </row>
    <row r="133" spans="1:20" x14ac:dyDescent="0.2">
      <c r="A133" t="s">
        <v>102</v>
      </c>
      <c r="B133" t="s">
        <v>38</v>
      </c>
      <c r="C133">
        <v>34</v>
      </c>
      <c r="D133">
        <v>3.1293000000000001E-2</v>
      </c>
      <c r="E133">
        <v>1E-4</v>
      </c>
      <c r="F133">
        <v>3.7916E-3</v>
      </c>
      <c r="G133">
        <v>0.96870999999999996</v>
      </c>
      <c r="H133">
        <v>1</v>
      </c>
      <c r="I133">
        <v>1</v>
      </c>
      <c r="J133">
        <v>6.2586000000000003E-2</v>
      </c>
      <c r="K133">
        <v>6.9992999999999997E-4</v>
      </c>
      <c r="L133">
        <v>2.5520999999999999E-2</v>
      </c>
      <c r="M133">
        <v>34</v>
      </c>
      <c r="N133">
        <v>6.2586000000000003E-2</v>
      </c>
      <c r="O133">
        <v>1.1999000000000001E-3</v>
      </c>
      <c r="P133">
        <v>0.13933999999999999</v>
      </c>
      <c r="Q133">
        <v>0</v>
      </c>
      <c r="R133" t="s">
        <v>22</v>
      </c>
      <c r="S133" t="s">
        <v>22</v>
      </c>
      <c r="T133" t="s">
        <v>22</v>
      </c>
    </row>
    <row r="134" spans="1:20" x14ac:dyDescent="0.2">
      <c r="A134" t="s">
        <v>102</v>
      </c>
      <c r="B134" t="s">
        <v>99</v>
      </c>
      <c r="C134">
        <v>13</v>
      </c>
      <c r="D134">
        <v>0.91898000000000002</v>
      </c>
      <c r="E134">
        <v>1</v>
      </c>
      <c r="F134">
        <v>1</v>
      </c>
      <c r="G134">
        <v>8.1020999999999996E-2</v>
      </c>
      <c r="H134">
        <v>1E-4</v>
      </c>
      <c r="I134">
        <v>1.9345E-3</v>
      </c>
      <c r="J134">
        <v>2.9767999999999999E-2</v>
      </c>
      <c r="K134">
        <v>6.9992999999999997E-4</v>
      </c>
      <c r="L134">
        <v>2.5520999999999999E-2</v>
      </c>
      <c r="M134">
        <v>1</v>
      </c>
      <c r="N134">
        <v>0.14021</v>
      </c>
      <c r="O134">
        <v>0.69943</v>
      </c>
      <c r="P134">
        <v>1</v>
      </c>
      <c r="Q134">
        <v>12</v>
      </c>
      <c r="R134">
        <v>2.0563999999999999E-2</v>
      </c>
      <c r="S134">
        <v>3.9995999999999999E-4</v>
      </c>
      <c r="T134">
        <v>1.5637999999999999E-2</v>
      </c>
    </row>
    <row r="135" spans="1:20" x14ac:dyDescent="0.2">
      <c r="A135" t="s">
        <v>102</v>
      </c>
      <c r="B135" t="s">
        <v>78</v>
      </c>
      <c r="C135">
        <v>7</v>
      </c>
      <c r="D135">
        <v>0.99141000000000001</v>
      </c>
      <c r="E135">
        <v>1</v>
      </c>
      <c r="F135">
        <v>1</v>
      </c>
      <c r="G135">
        <v>8.5883000000000001E-3</v>
      </c>
      <c r="H135">
        <v>1E-4</v>
      </c>
      <c r="I135">
        <v>1.9345E-3</v>
      </c>
      <c r="J135">
        <v>1.7177000000000001E-2</v>
      </c>
      <c r="K135">
        <v>8.9990999999999997E-4</v>
      </c>
      <c r="L135">
        <v>3.1597E-2</v>
      </c>
      <c r="M135">
        <v>0</v>
      </c>
      <c r="N135" t="s">
        <v>22</v>
      </c>
      <c r="O135" t="s">
        <v>22</v>
      </c>
      <c r="P135" t="s">
        <v>22</v>
      </c>
      <c r="Q135">
        <v>7</v>
      </c>
      <c r="R135">
        <v>1.7177000000000001E-2</v>
      </c>
      <c r="S135">
        <v>1.7998000000000001E-3</v>
      </c>
      <c r="T135">
        <v>4.5401999999999998E-2</v>
      </c>
    </row>
    <row r="136" spans="1:20" x14ac:dyDescent="0.2">
      <c r="A136" t="s">
        <v>102</v>
      </c>
      <c r="B136" t="s">
        <v>100</v>
      </c>
      <c r="C136">
        <v>6</v>
      </c>
      <c r="D136">
        <v>0.83526</v>
      </c>
      <c r="E136">
        <v>0.99850000000000005</v>
      </c>
      <c r="F136">
        <v>1</v>
      </c>
      <c r="G136">
        <v>0.16474</v>
      </c>
      <c r="H136">
        <v>1.5998E-3</v>
      </c>
      <c r="I136">
        <v>1.8957999999999999E-2</v>
      </c>
      <c r="J136">
        <v>1.4068000000000001E-2</v>
      </c>
      <c r="K136">
        <v>1.1999000000000001E-3</v>
      </c>
      <c r="L136">
        <v>3.9224000000000002E-2</v>
      </c>
      <c r="M136">
        <v>1</v>
      </c>
      <c r="N136">
        <v>5.3754999999999997E-2</v>
      </c>
      <c r="O136">
        <v>0.47765000000000002</v>
      </c>
      <c r="P136">
        <v>1</v>
      </c>
      <c r="Q136">
        <v>5</v>
      </c>
      <c r="R136">
        <v>6.1301000000000003E-3</v>
      </c>
      <c r="S136">
        <v>3.9995999999999999E-4</v>
      </c>
      <c r="T136">
        <v>1.5637999999999999E-2</v>
      </c>
    </row>
    <row r="137" spans="1:20" x14ac:dyDescent="0.2">
      <c r="A137" t="s">
        <v>102</v>
      </c>
      <c r="B137" t="s">
        <v>101</v>
      </c>
      <c r="C137">
        <v>6</v>
      </c>
      <c r="D137">
        <v>0.83526</v>
      </c>
      <c r="E137">
        <v>0.99850000000000005</v>
      </c>
      <c r="F137">
        <v>1</v>
      </c>
      <c r="G137">
        <v>0.16474</v>
      </c>
      <c r="H137">
        <v>1.5998E-3</v>
      </c>
      <c r="I137">
        <v>1.8957999999999999E-2</v>
      </c>
      <c r="J137">
        <v>1.4068000000000001E-2</v>
      </c>
      <c r="K137">
        <v>1.1999000000000001E-3</v>
      </c>
      <c r="L137">
        <v>3.9224000000000002E-2</v>
      </c>
      <c r="M137">
        <v>1</v>
      </c>
      <c r="N137">
        <v>5.3754999999999997E-2</v>
      </c>
      <c r="O137">
        <v>0.47765000000000002</v>
      </c>
      <c r="P137">
        <v>1</v>
      </c>
      <c r="Q137">
        <v>5</v>
      </c>
      <c r="R137">
        <v>6.1301000000000003E-3</v>
      </c>
      <c r="S137">
        <v>3.9995999999999999E-4</v>
      </c>
      <c r="T137">
        <v>1.5637999999999999E-2</v>
      </c>
    </row>
    <row r="138" spans="1:20" x14ac:dyDescent="0.2">
      <c r="A138" t="s">
        <v>102</v>
      </c>
      <c r="B138" t="s">
        <v>65</v>
      </c>
      <c r="C138">
        <v>17</v>
      </c>
      <c r="D138">
        <v>7.8686000000000006E-2</v>
      </c>
      <c r="E138">
        <v>3.9995999999999999E-4</v>
      </c>
      <c r="F138">
        <v>9.0276999999999996E-3</v>
      </c>
      <c r="G138">
        <v>0.92130999999999996</v>
      </c>
      <c r="H138">
        <v>0.99970000000000003</v>
      </c>
      <c r="I138">
        <v>1</v>
      </c>
      <c r="J138">
        <v>4.1353000000000001E-2</v>
      </c>
      <c r="K138">
        <v>1.4999E-3</v>
      </c>
      <c r="L138">
        <v>4.7395E-2</v>
      </c>
      <c r="M138">
        <v>16</v>
      </c>
      <c r="N138">
        <v>4.3071999999999999E-2</v>
      </c>
      <c r="O138">
        <v>2.8996999999999998E-3</v>
      </c>
      <c r="P138">
        <v>0.20721999999999999</v>
      </c>
      <c r="Q138">
        <v>1</v>
      </c>
      <c r="R138">
        <v>1.3840999999999999E-2</v>
      </c>
      <c r="S138">
        <v>0.22788</v>
      </c>
      <c r="T138">
        <v>1</v>
      </c>
    </row>
    <row r="139" spans="1:20" x14ac:dyDescent="0.2">
      <c r="A139" t="s">
        <v>112</v>
      </c>
      <c r="B139" t="s">
        <v>82</v>
      </c>
      <c r="C139">
        <v>218</v>
      </c>
      <c r="D139">
        <v>0.43769999999999998</v>
      </c>
      <c r="E139">
        <v>1.2699E-2</v>
      </c>
      <c r="F139">
        <v>0.14676</v>
      </c>
      <c r="G139">
        <v>0.56230000000000002</v>
      </c>
      <c r="H139">
        <v>0.98740000000000006</v>
      </c>
      <c r="I139">
        <v>1</v>
      </c>
      <c r="J139">
        <v>0.18345</v>
      </c>
      <c r="K139">
        <v>1E-4</v>
      </c>
      <c r="L139">
        <v>1.5737000000000001E-2</v>
      </c>
      <c r="M139">
        <v>127</v>
      </c>
      <c r="N139">
        <v>0.19223000000000001</v>
      </c>
      <c r="O139">
        <v>3.9995999999999999E-3</v>
      </c>
      <c r="P139">
        <v>0.24773000000000001</v>
      </c>
      <c r="Q139">
        <v>91</v>
      </c>
      <c r="R139">
        <v>0.17119000000000001</v>
      </c>
      <c r="S139">
        <v>1.3998999999999999E-3</v>
      </c>
      <c r="T139">
        <v>4.3527000000000003E-2</v>
      </c>
    </row>
    <row r="140" spans="1:20" x14ac:dyDescent="0.2">
      <c r="A140" t="s">
        <v>112</v>
      </c>
      <c r="B140" t="s">
        <v>58</v>
      </c>
      <c r="C140">
        <v>26</v>
      </c>
      <c r="D140">
        <v>0.84877000000000002</v>
      </c>
      <c r="E140">
        <v>1</v>
      </c>
      <c r="F140">
        <v>1</v>
      </c>
      <c r="G140">
        <v>0.15123</v>
      </c>
      <c r="H140">
        <v>1E-4</v>
      </c>
      <c r="I140">
        <v>2.9226E-3</v>
      </c>
      <c r="J140">
        <v>8.3112000000000005E-2</v>
      </c>
      <c r="K140">
        <v>1.9997999999999999E-4</v>
      </c>
      <c r="L140">
        <v>1.5737000000000001E-2</v>
      </c>
      <c r="M140">
        <v>3</v>
      </c>
      <c r="N140">
        <v>4.9493000000000002E-2</v>
      </c>
      <c r="O140">
        <v>6.2193999999999999E-2</v>
      </c>
      <c r="P140">
        <v>0.87824000000000002</v>
      </c>
      <c r="Q140">
        <v>23</v>
      </c>
      <c r="R140">
        <v>8.7497000000000005E-2</v>
      </c>
      <c r="S140">
        <v>3.9995999999999999E-4</v>
      </c>
      <c r="T140">
        <v>2.2109E-2</v>
      </c>
    </row>
    <row r="141" spans="1:20" x14ac:dyDescent="0.2">
      <c r="A141" t="s">
        <v>112</v>
      </c>
      <c r="B141" t="s">
        <v>64</v>
      </c>
      <c r="C141">
        <v>208</v>
      </c>
      <c r="D141">
        <v>0.68459999999999999</v>
      </c>
      <c r="E141">
        <v>1</v>
      </c>
      <c r="F141">
        <v>1</v>
      </c>
      <c r="G141">
        <v>0.31540000000000001</v>
      </c>
      <c r="H141">
        <v>1E-4</v>
      </c>
      <c r="I141">
        <v>2.9226E-3</v>
      </c>
      <c r="J141">
        <v>0.17471999999999999</v>
      </c>
      <c r="K141">
        <v>1E-4</v>
      </c>
      <c r="L141">
        <v>1.5737000000000001E-2</v>
      </c>
      <c r="M141">
        <v>61</v>
      </c>
      <c r="N141">
        <v>0.22241</v>
      </c>
      <c r="O141">
        <v>0.18967999999999999</v>
      </c>
      <c r="P141">
        <v>0.99953000000000003</v>
      </c>
      <c r="Q141">
        <v>147</v>
      </c>
      <c r="R141">
        <v>0.15493000000000001</v>
      </c>
      <c r="S141">
        <v>1E-4</v>
      </c>
      <c r="T141">
        <v>9.9489999999999995E-3</v>
      </c>
    </row>
    <row r="142" spans="1:20" x14ac:dyDescent="0.2">
      <c r="A142" t="s">
        <v>112</v>
      </c>
      <c r="B142" t="s">
        <v>29</v>
      </c>
      <c r="C142">
        <v>46</v>
      </c>
      <c r="D142">
        <v>0.90995000000000004</v>
      </c>
      <c r="E142">
        <v>1</v>
      </c>
      <c r="F142">
        <v>1</v>
      </c>
      <c r="G142">
        <v>9.0048000000000003E-2</v>
      </c>
      <c r="H142">
        <v>1E-4</v>
      </c>
      <c r="I142">
        <v>2.9226E-3</v>
      </c>
      <c r="J142">
        <v>9.4350000000000003E-2</v>
      </c>
      <c r="K142">
        <v>1E-4</v>
      </c>
      <c r="L142">
        <v>1.5737000000000001E-2</v>
      </c>
      <c r="M142">
        <v>2</v>
      </c>
      <c r="N142">
        <v>1.3919000000000001E-2</v>
      </c>
      <c r="O142">
        <v>1.3299E-2</v>
      </c>
      <c r="P142">
        <v>0.57299999999999995</v>
      </c>
      <c r="Q142">
        <v>44</v>
      </c>
      <c r="R142">
        <v>9.8005999999999996E-2</v>
      </c>
      <c r="S142">
        <v>1E-4</v>
      </c>
      <c r="T142">
        <v>9.9489999999999995E-3</v>
      </c>
    </row>
    <row r="143" spans="1:20" x14ac:dyDescent="0.2">
      <c r="A143" t="s">
        <v>112</v>
      </c>
      <c r="B143" t="s">
        <v>83</v>
      </c>
      <c r="C143">
        <v>30</v>
      </c>
      <c r="D143">
        <v>0.27467999999999998</v>
      </c>
      <c r="E143">
        <v>5.9993999999999998E-4</v>
      </c>
      <c r="F143">
        <v>3.7196E-2</v>
      </c>
      <c r="G143">
        <v>0.72531999999999996</v>
      </c>
      <c r="H143">
        <v>0.99950000000000006</v>
      </c>
      <c r="I143">
        <v>1</v>
      </c>
      <c r="J143">
        <v>9.3956999999999999E-2</v>
      </c>
      <c r="K143">
        <v>1.9997999999999999E-4</v>
      </c>
      <c r="L143">
        <v>1.5737000000000001E-2</v>
      </c>
      <c r="M143">
        <v>22</v>
      </c>
      <c r="N143">
        <v>7.4992000000000003E-2</v>
      </c>
      <c r="O143">
        <v>1E-4</v>
      </c>
      <c r="P143">
        <v>4.9544999999999999E-2</v>
      </c>
      <c r="Q143">
        <v>8</v>
      </c>
      <c r="R143">
        <v>0.14610999999999999</v>
      </c>
      <c r="S143">
        <v>0.13519</v>
      </c>
      <c r="T143">
        <v>0.73807999999999996</v>
      </c>
    </row>
    <row r="144" spans="1:20" x14ac:dyDescent="0.2">
      <c r="A144" t="s">
        <v>112</v>
      </c>
      <c r="B144" t="s">
        <v>23</v>
      </c>
      <c r="C144">
        <v>29</v>
      </c>
      <c r="D144">
        <v>0.97111000000000003</v>
      </c>
      <c r="E144">
        <v>1</v>
      </c>
      <c r="F144">
        <v>1</v>
      </c>
      <c r="G144">
        <v>2.8888E-2</v>
      </c>
      <c r="H144">
        <v>1E-4</v>
      </c>
      <c r="I144">
        <v>2.9226E-3</v>
      </c>
      <c r="J144">
        <v>5.7776000000000001E-2</v>
      </c>
      <c r="K144">
        <v>1E-4</v>
      </c>
      <c r="L144">
        <v>1.5737000000000001E-2</v>
      </c>
      <c r="M144">
        <v>0</v>
      </c>
      <c r="N144" t="s">
        <v>22</v>
      </c>
      <c r="O144" t="s">
        <v>22</v>
      </c>
      <c r="P144" t="s">
        <v>22</v>
      </c>
      <c r="Q144">
        <v>29</v>
      </c>
      <c r="R144">
        <v>5.7776000000000001E-2</v>
      </c>
      <c r="S144">
        <v>1E-4</v>
      </c>
      <c r="T144">
        <v>9.9489999999999995E-3</v>
      </c>
    </row>
    <row r="145" spans="1:20" x14ac:dyDescent="0.2">
      <c r="A145" t="s">
        <v>112</v>
      </c>
      <c r="B145" t="s">
        <v>62</v>
      </c>
      <c r="C145">
        <v>19</v>
      </c>
      <c r="D145">
        <v>0.87402000000000002</v>
      </c>
      <c r="E145">
        <v>1</v>
      </c>
      <c r="F145">
        <v>1</v>
      </c>
      <c r="G145">
        <v>0.12598000000000001</v>
      </c>
      <c r="H145">
        <v>1E-4</v>
      </c>
      <c r="I145">
        <v>2.9226E-3</v>
      </c>
      <c r="J145">
        <v>5.0207000000000002E-2</v>
      </c>
      <c r="K145">
        <v>1E-4</v>
      </c>
      <c r="L145">
        <v>1.5737000000000001E-2</v>
      </c>
      <c r="M145">
        <v>2</v>
      </c>
      <c r="N145">
        <v>4.1642999999999999E-2</v>
      </c>
      <c r="O145">
        <v>0.10549</v>
      </c>
      <c r="P145">
        <v>0.99953000000000003</v>
      </c>
      <c r="Q145">
        <v>17</v>
      </c>
      <c r="R145">
        <v>5.1214999999999997E-2</v>
      </c>
      <c r="S145">
        <v>1E-4</v>
      </c>
      <c r="T145">
        <v>9.9489999999999995E-3</v>
      </c>
    </row>
    <row r="146" spans="1:20" x14ac:dyDescent="0.2">
      <c r="A146" t="s">
        <v>112</v>
      </c>
      <c r="B146" t="s">
        <v>24</v>
      </c>
      <c r="C146">
        <v>13</v>
      </c>
      <c r="D146">
        <v>0.17046</v>
      </c>
      <c r="E146">
        <v>1.1999000000000001E-3</v>
      </c>
      <c r="F146">
        <v>4.5462000000000002E-2</v>
      </c>
      <c r="G146">
        <v>0.82954000000000006</v>
      </c>
      <c r="H146">
        <v>0.99890000000000001</v>
      </c>
      <c r="I146">
        <v>1</v>
      </c>
      <c r="J146">
        <v>3.4550999999999998E-2</v>
      </c>
      <c r="K146">
        <v>1E-4</v>
      </c>
      <c r="L146">
        <v>1.5737000000000001E-2</v>
      </c>
      <c r="M146">
        <v>11</v>
      </c>
      <c r="N146">
        <v>4.0048E-2</v>
      </c>
      <c r="O146">
        <v>1.9997999999999999E-4</v>
      </c>
      <c r="P146">
        <v>6.6059999999999994E-2</v>
      </c>
      <c r="Q146">
        <v>2</v>
      </c>
      <c r="R146">
        <v>4.3169999999999997E-3</v>
      </c>
      <c r="S146">
        <v>2.9996999999999999E-4</v>
      </c>
      <c r="T146">
        <v>1.9897999999999999E-2</v>
      </c>
    </row>
    <row r="147" spans="1:20" x14ac:dyDescent="0.2">
      <c r="A147" t="s">
        <v>112</v>
      </c>
      <c r="B147" t="s">
        <v>66</v>
      </c>
      <c r="C147">
        <v>12</v>
      </c>
      <c r="D147">
        <v>0.90081999999999995</v>
      </c>
      <c r="E147">
        <v>0.99990000000000001</v>
      </c>
      <c r="F147">
        <v>1</v>
      </c>
      <c r="G147">
        <v>9.9181000000000005E-2</v>
      </c>
      <c r="H147">
        <v>1.9997999999999999E-4</v>
      </c>
      <c r="I147">
        <v>4.8709000000000001E-3</v>
      </c>
      <c r="J147">
        <v>3.9820000000000001E-2</v>
      </c>
      <c r="K147">
        <v>1.9997999999999999E-4</v>
      </c>
      <c r="L147">
        <v>1.5737000000000001E-2</v>
      </c>
      <c r="M147">
        <v>1</v>
      </c>
      <c r="N147">
        <v>4.8751999999999997E-2</v>
      </c>
      <c r="O147">
        <v>0.27046999999999999</v>
      </c>
      <c r="P147">
        <v>0.99953000000000003</v>
      </c>
      <c r="Q147">
        <v>11</v>
      </c>
      <c r="R147">
        <v>3.9008000000000001E-2</v>
      </c>
      <c r="S147">
        <v>1.9997999999999999E-4</v>
      </c>
      <c r="T147">
        <v>1.5306E-2</v>
      </c>
    </row>
    <row r="148" spans="1:20" x14ac:dyDescent="0.2">
      <c r="A148" t="s">
        <v>112</v>
      </c>
      <c r="B148" t="s">
        <v>68</v>
      </c>
      <c r="C148">
        <v>5</v>
      </c>
      <c r="D148">
        <v>0.99241999999999997</v>
      </c>
      <c r="E148">
        <v>1</v>
      </c>
      <c r="F148">
        <v>1</v>
      </c>
      <c r="G148">
        <v>7.5792999999999998E-3</v>
      </c>
      <c r="H148">
        <v>1E-4</v>
      </c>
      <c r="I148">
        <v>2.9226E-3</v>
      </c>
      <c r="J148">
        <v>1.5159000000000001E-2</v>
      </c>
      <c r="K148">
        <v>1.9997999999999999E-4</v>
      </c>
      <c r="L148">
        <v>1.5737000000000001E-2</v>
      </c>
      <c r="M148">
        <v>0</v>
      </c>
      <c r="N148" t="s">
        <v>22</v>
      </c>
      <c r="O148" t="s">
        <v>22</v>
      </c>
      <c r="P148" t="s">
        <v>22</v>
      </c>
      <c r="Q148">
        <v>5</v>
      </c>
      <c r="R148">
        <v>1.5159000000000001E-2</v>
      </c>
      <c r="S148">
        <v>4.9994999999999998E-4</v>
      </c>
      <c r="T148">
        <v>2.2610999999999999E-2</v>
      </c>
    </row>
    <row r="149" spans="1:20" x14ac:dyDescent="0.2">
      <c r="A149" t="s">
        <v>112</v>
      </c>
      <c r="B149" t="s">
        <v>63</v>
      </c>
      <c r="C149">
        <v>6</v>
      </c>
      <c r="D149">
        <v>0.83091999999999999</v>
      </c>
      <c r="E149">
        <v>0.98419999999999996</v>
      </c>
      <c r="F149">
        <v>1</v>
      </c>
      <c r="G149">
        <v>0.16908000000000001</v>
      </c>
      <c r="H149">
        <v>1.5897999999999999E-2</v>
      </c>
      <c r="I149">
        <v>0.14197000000000001</v>
      </c>
      <c r="J149">
        <v>2.0438000000000001E-2</v>
      </c>
      <c r="K149">
        <v>1.9997999999999999E-4</v>
      </c>
      <c r="L149">
        <v>1.5737000000000001E-2</v>
      </c>
      <c r="M149">
        <v>1</v>
      </c>
      <c r="N149">
        <v>4.6833E-2</v>
      </c>
      <c r="O149">
        <v>0.26646999999999998</v>
      </c>
      <c r="P149">
        <v>0.99953000000000003</v>
      </c>
      <c r="Q149">
        <v>5</v>
      </c>
      <c r="R149">
        <v>1.5159000000000001E-2</v>
      </c>
      <c r="S149">
        <v>4.9994999999999998E-4</v>
      </c>
      <c r="T149">
        <v>2.2610999999999999E-2</v>
      </c>
    </row>
    <row r="150" spans="1:20" x14ac:dyDescent="0.2">
      <c r="A150" t="s">
        <v>112</v>
      </c>
      <c r="B150" t="s">
        <v>69</v>
      </c>
      <c r="C150">
        <v>5</v>
      </c>
      <c r="D150">
        <v>0.99241999999999997</v>
      </c>
      <c r="E150">
        <v>1</v>
      </c>
      <c r="F150">
        <v>1</v>
      </c>
      <c r="G150">
        <v>7.5792999999999998E-3</v>
      </c>
      <c r="H150">
        <v>1E-4</v>
      </c>
      <c r="I150">
        <v>2.9226E-3</v>
      </c>
      <c r="J150">
        <v>1.5159000000000001E-2</v>
      </c>
      <c r="K150">
        <v>1.9997999999999999E-4</v>
      </c>
      <c r="L150">
        <v>1.5737000000000001E-2</v>
      </c>
      <c r="M150">
        <v>0</v>
      </c>
      <c r="N150" t="s">
        <v>22</v>
      </c>
      <c r="O150" t="s">
        <v>22</v>
      </c>
      <c r="P150" t="s">
        <v>22</v>
      </c>
      <c r="Q150">
        <v>5</v>
      </c>
      <c r="R150">
        <v>1.5159000000000001E-2</v>
      </c>
      <c r="S150">
        <v>4.9994999999999998E-4</v>
      </c>
      <c r="T150">
        <v>2.2610999999999999E-2</v>
      </c>
    </row>
    <row r="151" spans="1:20" x14ac:dyDescent="0.2">
      <c r="A151" t="s">
        <v>112</v>
      </c>
      <c r="B151" t="s">
        <v>70</v>
      </c>
      <c r="C151">
        <v>5</v>
      </c>
      <c r="D151">
        <v>0.99241999999999997</v>
      </c>
      <c r="E151">
        <v>1</v>
      </c>
      <c r="F151">
        <v>1</v>
      </c>
      <c r="G151">
        <v>7.5792999999999998E-3</v>
      </c>
      <c r="H151">
        <v>1E-4</v>
      </c>
      <c r="I151">
        <v>2.9226E-3</v>
      </c>
      <c r="J151">
        <v>1.5159000000000001E-2</v>
      </c>
      <c r="K151">
        <v>1.9997999999999999E-4</v>
      </c>
      <c r="L151">
        <v>1.5737000000000001E-2</v>
      </c>
      <c r="M151">
        <v>0</v>
      </c>
      <c r="N151" t="s">
        <v>22</v>
      </c>
      <c r="O151" t="s">
        <v>22</v>
      </c>
      <c r="P151" t="s">
        <v>22</v>
      </c>
      <c r="Q151">
        <v>5</v>
      </c>
      <c r="R151">
        <v>1.5159000000000001E-2</v>
      </c>
      <c r="S151">
        <v>4.9994999999999998E-4</v>
      </c>
      <c r="T151">
        <v>2.2610999999999999E-2</v>
      </c>
    </row>
    <row r="152" spans="1:20" x14ac:dyDescent="0.2">
      <c r="A152" t="s">
        <v>112</v>
      </c>
      <c r="B152" t="s">
        <v>103</v>
      </c>
      <c r="C152">
        <v>10</v>
      </c>
      <c r="D152">
        <v>0.87888999999999995</v>
      </c>
      <c r="E152">
        <v>0.99960000000000004</v>
      </c>
      <c r="F152">
        <v>1</v>
      </c>
      <c r="G152">
        <v>0.12111</v>
      </c>
      <c r="H152">
        <v>4.9994999999999998E-4</v>
      </c>
      <c r="I152">
        <v>1.1365999999999999E-2</v>
      </c>
      <c r="J152">
        <v>4.6247000000000003E-2</v>
      </c>
      <c r="K152">
        <v>2.9996999999999999E-4</v>
      </c>
      <c r="L152">
        <v>1.9179000000000002E-2</v>
      </c>
      <c r="M152">
        <v>1</v>
      </c>
      <c r="N152">
        <v>2.0150999999999999E-2</v>
      </c>
      <c r="O152">
        <v>0.12609000000000001</v>
      </c>
      <c r="P152">
        <v>0.99953000000000003</v>
      </c>
      <c r="Q152">
        <v>9</v>
      </c>
      <c r="R152">
        <v>4.9147000000000003E-2</v>
      </c>
      <c r="S152">
        <v>1.2999000000000001E-3</v>
      </c>
      <c r="T152">
        <v>4.3111999999999998E-2</v>
      </c>
    </row>
    <row r="153" spans="1:20" x14ac:dyDescent="0.2">
      <c r="A153" t="s">
        <v>112</v>
      </c>
      <c r="B153" t="s">
        <v>50</v>
      </c>
      <c r="C153">
        <v>18</v>
      </c>
      <c r="D153">
        <v>0.22541</v>
      </c>
      <c r="E153">
        <v>2.0998000000000002E-3</v>
      </c>
      <c r="F153">
        <v>5.5079000000000003E-2</v>
      </c>
      <c r="G153">
        <v>0.77459</v>
      </c>
      <c r="H153">
        <v>0.998</v>
      </c>
      <c r="I153">
        <v>1</v>
      </c>
      <c r="J153">
        <v>6.1010000000000002E-2</v>
      </c>
      <c r="K153">
        <v>2.9996999999999999E-4</v>
      </c>
      <c r="L153">
        <v>1.9179000000000002E-2</v>
      </c>
      <c r="M153">
        <v>14</v>
      </c>
      <c r="N153">
        <v>4.3325000000000002E-2</v>
      </c>
      <c r="O153">
        <v>1E-4</v>
      </c>
      <c r="P153">
        <v>4.9544999999999999E-2</v>
      </c>
      <c r="Q153">
        <v>4</v>
      </c>
      <c r="R153">
        <v>0.12291000000000001</v>
      </c>
      <c r="S153">
        <v>0.18428</v>
      </c>
      <c r="T153">
        <v>0.77385999999999999</v>
      </c>
    </row>
    <row r="154" spans="1:20" x14ac:dyDescent="0.2">
      <c r="A154" t="s">
        <v>112</v>
      </c>
      <c r="B154" t="s">
        <v>73</v>
      </c>
      <c r="C154">
        <v>7</v>
      </c>
      <c r="D154">
        <v>0.29303000000000001</v>
      </c>
      <c r="E154">
        <v>8.7890999999999997E-2</v>
      </c>
      <c r="F154">
        <v>0.37619999999999998</v>
      </c>
      <c r="G154">
        <v>0.70696999999999999</v>
      </c>
      <c r="H154">
        <v>0.91220999999999997</v>
      </c>
      <c r="I154">
        <v>1</v>
      </c>
      <c r="J154">
        <v>2.5968999999999999E-2</v>
      </c>
      <c r="K154">
        <v>2.9996999999999999E-4</v>
      </c>
      <c r="L154">
        <v>1.9179000000000002E-2</v>
      </c>
      <c r="M154">
        <v>5</v>
      </c>
      <c r="N154">
        <v>2.8417999999999999E-2</v>
      </c>
      <c r="O154">
        <v>1.3998999999999999E-3</v>
      </c>
      <c r="P154">
        <v>9.9089999999999998E-2</v>
      </c>
      <c r="Q154">
        <v>2</v>
      </c>
      <c r="R154">
        <v>1.9847E-2</v>
      </c>
      <c r="S154">
        <v>2.6397E-2</v>
      </c>
      <c r="T154">
        <v>0.35493999999999998</v>
      </c>
    </row>
    <row r="155" spans="1:20" x14ac:dyDescent="0.2">
      <c r="A155" t="s">
        <v>112</v>
      </c>
      <c r="B155" t="s">
        <v>104</v>
      </c>
      <c r="C155">
        <v>7</v>
      </c>
      <c r="D155">
        <v>0.42429</v>
      </c>
      <c r="E155">
        <v>0.31967000000000001</v>
      </c>
      <c r="F155">
        <v>0.76585999999999999</v>
      </c>
      <c r="G155">
        <v>0.57571000000000006</v>
      </c>
      <c r="H155">
        <v>0.68042999999999998</v>
      </c>
      <c r="I155">
        <v>1</v>
      </c>
      <c r="J155">
        <v>2.8327999999999999E-2</v>
      </c>
      <c r="K155">
        <v>4.9994999999999998E-4</v>
      </c>
      <c r="L155">
        <v>3.0085000000000001E-2</v>
      </c>
      <c r="M155">
        <v>4</v>
      </c>
      <c r="N155">
        <v>1.7298999999999998E-2</v>
      </c>
      <c r="O155">
        <v>1.3998999999999999E-3</v>
      </c>
      <c r="P155">
        <v>9.9089999999999998E-2</v>
      </c>
      <c r="Q155">
        <v>3</v>
      </c>
      <c r="R155">
        <v>4.3034999999999997E-2</v>
      </c>
      <c r="S155">
        <v>4.9794999999999999E-2</v>
      </c>
      <c r="T155">
        <v>0.46655000000000002</v>
      </c>
    </row>
    <row r="156" spans="1:20" x14ac:dyDescent="0.2">
      <c r="A156" t="s">
        <v>112</v>
      </c>
      <c r="B156" t="s">
        <v>25</v>
      </c>
      <c r="C156">
        <v>145</v>
      </c>
      <c r="D156">
        <v>0.82328999999999997</v>
      </c>
      <c r="E156">
        <v>1</v>
      </c>
      <c r="F156">
        <v>1</v>
      </c>
      <c r="G156">
        <v>0.17671000000000001</v>
      </c>
      <c r="H156">
        <v>1E-4</v>
      </c>
      <c r="I156">
        <v>2.9226E-3</v>
      </c>
      <c r="J156">
        <v>0.18593999999999999</v>
      </c>
      <c r="K156">
        <v>5.9993999999999998E-4</v>
      </c>
      <c r="L156">
        <v>3.4097000000000002E-2</v>
      </c>
      <c r="M156">
        <v>20</v>
      </c>
      <c r="N156">
        <v>0.39288000000000001</v>
      </c>
      <c r="O156">
        <v>0.9869</v>
      </c>
      <c r="P156">
        <v>0.99953000000000003</v>
      </c>
      <c r="Q156">
        <v>125</v>
      </c>
      <c r="R156">
        <v>0.15282999999999999</v>
      </c>
      <c r="S156">
        <v>1E-4</v>
      </c>
      <c r="T156">
        <v>9.9489999999999995E-3</v>
      </c>
    </row>
    <row r="157" spans="1:20" x14ac:dyDescent="0.2">
      <c r="A157" t="s">
        <v>112</v>
      </c>
      <c r="B157" t="s">
        <v>105</v>
      </c>
      <c r="C157">
        <v>10</v>
      </c>
      <c r="D157">
        <v>0.77944999999999998</v>
      </c>
      <c r="E157">
        <v>0.98899999999999999</v>
      </c>
      <c r="F157">
        <v>1</v>
      </c>
      <c r="G157">
        <v>0.22055</v>
      </c>
      <c r="H157">
        <v>1.1098999999999999E-2</v>
      </c>
      <c r="I157">
        <v>0.10808</v>
      </c>
      <c r="J157">
        <v>5.0608E-2</v>
      </c>
      <c r="K157">
        <v>6.9992999999999997E-4</v>
      </c>
      <c r="L157">
        <v>3.7685999999999997E-2</v>
      </c>
      <c r="M157">
        <v>2</v>
      </c>
      <c r="N157">
        <v>2.3761000000000001E-2</v>
      </c>
      <c r="O157">
        <v>3.7696E-2</v>
      </c>
      <c r="P157">
        <v>0.79684999999999995</v>
      </c>
      <c r="Q157">
        <v>8</v>
      </c>
      <c r="R157">
        <v>5.7320000000000003E-2</v>
      </c>
      <c r="S157">
        <v>5.6994000000000003E-3</v>
      </c>
      <c r="T157">
        <v>0.12601999999999999</v>
      </c>
    </row>
    <row r="158" spans="1:20" x14ac:dyDescent="0.2">
      <c r="A158" t="s">
        <v>112</v>
      </c>
      <c r="B158" t="s">
        <v>31</v>
      </c>
      <c r="C158">
        <v>13</v>
      </c>
      <c r="D158">
        <v>0.96775999999999995</v>
      </c>
      <c r="E158">
        <v>1</v>
      </c>
      <c r="F158">
        <v>1</v>
      </c>
      <c r="G158">
        <v>3.2238000000000003E-2</v>
      </c>
      <c r="H158">
        <v>1E-4</v>
      </c>
      <c r="I158">
        <v>2.9226E-3</v>
      </c>
      <c r="J158">
        <v>6.4476000000000006E-2</v>
      </c>
      <c r="K158">
        <v>7.9991999999999997E-4</v>
      </c>
      <c r="L158">
        <v>3.8968000000000003E-2</v>
      </c>
      <c r="M158">
        <v>0</v>
      </c>
      <c r="N158" t="s">
        <v>22</v>
      </c>
      <c r="O158" t="s">
        <v>22</v>
      </c>
      <c r="P158" t="s">
        <v>22</v>
      </c>
      <c r="Q158">
        <v>13</v>
      </c>
      <c r="R158">
        <v>6.4476000000000006E-2</v>
      </c>
      <c r="S158">
        <v>8.9990999999999997E-4</v>
      </c>
      <c r="T158">
        <v>3.0876000000000001E-2</v>
      </c>
    </row>
    <row r="159" spans="1:20" x14ac:dyDescent="0.2">
      <c r="A159" t="s">
        <v>112</v>
      </c>
      <c r="B159" t="s">
        <v>106</v>
      </c>
      <c r="C159">
        <v>7</v>
      </c>
      <c r="D159">
        <v>0.98419999999999996</v>
      </c>
      <c r="E159">
        <v>1</v>
      </c>
      <c r="F159">
        <v>1</v>
      </c>
      <c r="G159">
        <v>1.5796000000000001E-2</v>
      </c>
      <c r="H159">
        <v>1E-4</v>
      </c>
      <c r="I159">
        <v>2.9226E-3</v>
      </c>
      <c r="J159">
        <v>3.1592000000000002E-2</v>
      </c>
      <c r="K159">
        <v>7.9991999999999997E-4</v>
      </c>
      <c r="L159">
        <v>3.8968000000000003E-2</v>
      </c>
      <c r="M159">
        <v>0</v>
      </c>
      <c r="N159" t="s">
        <v>22</v>
      </c>
      <c r="O159" t="s">
        <v>22</v>
      </c>
      <c r="P159" t="s">
        <v>22</v>
      </c>
      <c r="Q159">
        <v>7</v>
      </c>
      <c r="R159">
        <v>3.1592000000000002E-2</v>
      </c>
      <c r="S159">
        <v>5.9993999999999998E-4</v>
      </c>
      <c r="T159">
        <v>2.4872999999999999E-2</v>
      </c>
    </row>
    <row r="160" spans="1:20" x14ac:dyDescent="0.2">
      <c r="A160" t="s">
        <v>112</v>
      </c>
      <c r="B160" t="s">
        <v>107</v>
      </c>
      <c r="C160">
        <v>6</v>
      </c>
      <c r="D160">
        <v>0.17641000000000001</v>
      </c>
      <c r="E160">
        <v>2.0798000000000001E-2</v>
      </c>
      <c r="F160">
        <v>0.18915000000000001</v>
      </c>
      <c r="G160">
        <v>0.82359000000000004</v>
      </c>
      <c r="H160">
        <v>0.97929999999999995</v>
      </c>
      <c r="I160">
        <v>1</v>
      </c>
      <c r="J160">
        <v>2.7879000000000001E-2</v>
      </c>
      <c r="K160">
        <v>9.9989999999999996E-4</v>
      </c>
      <c r="L160">
        <v>4.2620999999999999E-2</v>
      </c>
      <c r="M160">
        <v>5</v>
      </c>
      <c r="N160">
        <v>2.8417999999999999E-2</v>
      </c>
      <c r="O160">
        <v>1.3998999999999999E-3</v>
      </c>
      <c r="P160">
        <v>9.9089999999999998E-2</v>
      </c>
      <c r="Q160">
        <v>1</v>
      </c>
      <c r="R160">
        <v>2.5183000000000001E-2</v>
      </c>
      <c r="S160">
        <v>0.15107999999999999</v>
      </c>
      <c r="T160">
        <v>0.73807999999999996</v>
      </c>
    </row>
    <row r="161" spans="1:20" x14ac:dyDescent="0.2">
      <c r="A161" t="s">
        <v>112</v>
      </c>
      <c r="B161" t="s">
        <v>108</v>
      </c>
      <c r="C161">
        <v>6</v>
      </c>
      <c r="D161">
        <v>0.17641000000000001</v>
      </c>
      <c r="E161">
        <v>2.0798000000000001E-2</v>
      </c>
      <c r="F161">
        <v>0.18915000000000001</v>
      </c>
      <c r="G161">
        <v>0.82359000000000004</v>
      </c>
      <c r="H161">
        <v>0.97929999999999995</v>
      </c>
      <c r="I161">
        <v>1</v>
      </c>
      <c r="J161">
        <v>2.7879000000000001E-2</v>
      </c>
      <c r="K161">
        <v>9.9989999999999996E-4</v>
      </c>
      <c r="L161">
        <v>4.2620999999999999E-2</v>
      </c>
      <c r="M161">
        <v>5</v>
      </c>
      <c r="N161">
        <v>2.8417999999999999E-2</v>
      </c>
      <c r="O161">
        <v>1.3998999999999999E-3</v>
      </c>
      <c r="P161">
        <v>9.9089999999999998E-2</v>
      </c>
      <c r="Q161">
        <v>1</v>
      </c>
      <c r="R161">
        <v>2.5183000000000001E-2</v>
      </c>
      <c r="S161">
        <v>0.15107999999999999</v>
      </c>
      <c r="T161">
        <v>0.73807999999999996</v>
      </c>
    </row>
    <row r="162" spans="1:20" x14ac:dyDescent="0.2">
      <c r="A162" t="s">
        <v>112</v>
      </c>
      <c r="B162" t="s">
        <v>109</v>
      </c>
      <c r="C162">
        <v>6</v>
      </c>
      <c r="D162">
        <v>0.17641000000000001</v>
      </c>
      <c r="E162">
        <v>2.0798000000000001E-2</v>
      </c>
      <c r="F162">
        <v>0.18915000000000001</v>
      </c>
      <c r="G162">
        <v>0.82359000000000004</v>
      </c>
      <c r="H162">
        <v>0.97929999999999995</v>
      </c>
      <c r="I162">
        <v>1</v>
      </c>
      <c r="J162">
        <v>2.7879000000000001E-2</v>
      </c>
      <c r="K162">
        <v>9.9989999999999996E-4</v>
      </c>
      <c r="L162">
        <v>4.2620999999999999E-2</v>
      </c>
      <c r="M162">
        <v>5</v>
      </c>
      <c r="N162">
        <v>2.8417999999999999E-2</v>
      </c>
      <c r="O162">
        <v>1.3998999999999999E-3</v>
      </c>
      <c r="P162">
        <v>9.9089999999999998E-2</v>
      </c>
      <c r="Q162">
        <v>1</v>
      </c>
      <c r="R162">
        <v>2.5183000000000001E-2</v>
      </c>
      <c r="S162">
        <v>0.15107999999999999</v>
      </c>
      <c r="T162">
        <v>0.73807999999999996</v>
      </c>
    </row>
    <row r="163" spans="1:20" x14ac:dyDescent="0.2">
      <c r="A163" t="s">
        <v>112</v>
      </c>
      <c r="B163" t="s">
        <v>110</v>
      </c>
      <c r="C163">
        <v>23</v>
      </c>
      <c r="D163">
        <v>0.88668000000000002</v>
      </c>
      <c r="E163">
        <v>1</v>
      </c>
      <c r="F163">
        <v>1</v>
      </c>
      <c r="G163">
        <v>0.11332</v>
      </c>
      <c r="H163">
        <v>1E-4</v>
      </c>
      <c r="I163">
        <v>2.9226E-3</v>
      </c>
      <c r="J163">
        <v>0.10548</v>
      </c>
      <c r="K163">
        <v>1.2999000000000001E-3</v>
      </c>
      <c r="L163">
        <v>4.9251000000000003E-2</v>
      </c>
      <c r="M163">
        <v>2</v>
      </c>
      <c r="N163">
        <v>0.30336000000000002</v>
      </c>
      <c r="O163">
        <v>0.65103</v>
      </c>
      <c r="P163">
        <v>0.99953000000000003</v>
      </c>
      <c r="Q163">
        <v>21</v>
      </c>
      <c r="R163">
        <v>8.6628999999999998E-2</v>
      </c>
      <c r="S163">
        <v>2.9996999999999999E-4</v>
      </c>
      <c r="T163">
        <v>1.9897999999999999E-2</v>
      </c>
    </row>
    <row r="164" spans="1:20" x14ac:dyDescent="0.2">
      <c r="A164" t="s">
        <v>112</v>
      </c>
      <c r="B164" t="s">
        <v>111</v>
      </c>
      <c r="C164">
        <v>5</v>
      </c>
      <c r="D164">
        <v>0.98829999999999996</v>
      </c>
      <c r="E164">
        <v>0.99990000000000001</v>
      </c>
      <c r="F164">
        <v>1</v>
      </c>
      <c r="G164">
        <v>1.1698E-2</v>
      </c>
      <c r="H164">
        <v>1.9997999999999999E-4</v>
      </c>
      <c r="I164">
        <v>4.8709000000000001E-3</v>
      </c>
      <c r="J164">
        <v>2.3394999999999999E-2</v>
      </c>
      <c r="K164">
        <v>1.2999000000000001E-3</v>
      </c>
      <c r="L164">
        <v>4.9251000000000003E-2</v>
      </c>
      <c r="M164">
        <v>0</v>
      </c>
      <c r="N164" t="s">
        <v>22</v>
      </c>
      <c r="O164" t="s">
        <v>22</v>
      </c>
      <c r="P164" t="s">
        <v>22</v>
      </c>
      <c r="Q164">
        <v>5</v>
      </c>
      <c r="R164">
        <v>2.3394999999999999E-2</v>
      </c>
      <c r="S164">
        <v>1.3998999999999999E-3</v>
      </c>
      <c r="T164">
        <v>4.3527000000000003E-2</v>
      </c>
    </row>
    <row r="165" spans="1:20" x14ac:dyDescent="0.2">
      <c r="A165" t="s">
        <v>112</v>
      </c>
      <c r="B165" t="s">
        <v>43</v>
      </c>
      <c r="C165">
        <v>11</v>
      </c>
      <c r="D165">
        <v>0.27289000000000002</v>
      </c>
      <c r="E165">
        <v>2.6897000000000001E-2</v>
      </c>
      <c r="F165">
        <v>0.20232</v>
      </c>
      <c r="G165">
        <v>0.72711000000000003</v>
      </c>
      <c r="H165">
        <v>0.97319999999999995</v>
      </c>
      <c r="I165">
        <v>1</v>
      </c>
      <c r="J165">
        <v>5.9026000000000002E-2</v>
      </c>
      <c r="K165">
        <v>1.2999000000000001E-3</v>
      </c>
      <c r="L165">
        <v>4.9251000000000003E-2</v>
      </c>
      <c r="M165">
        <v>8</v>
      </c>
      <c r="N165">
        <v>4.0799000000000002E-2</v>
      </c>
      <c r="O165">
        <v>9.9989999999999996E-4</v>
      </c>
      <c r="P165">
        <v>9.9089999999999998E-2</v>
      </c>
      <c r="Q165">
        <v>3</v>
      </c>
      <c r="R165">
        <v>0.10763</v>
      </c>
      <c r="S165">
        <v>0.21007999999999999</v>
      </c>
      <c r="T165">
        <v>0.81652000000000002</v>
      </c>
    </row>
    <row r="166" spans="1:20" x14ac:dyDescent="0.2">
      <c r="A166" t="s">
        <v>113</v>
      </c>
      <c r="B166" t="s">
        <v>82</v>
      </c>
      <c r="C166">
        <v>198</v>
      </c>
      <c r="D166">
        <v>0.47355999999999998</v>
      </c>
      <c r="E166">
        <v>3.7595999999999997E-2</v>
      </c>
      <c r="F166">
        <v>0.31580999999999998</v>
      </c>
      <c r="G166">
        <v>0.52644000000000002</v>
      </c>
      <c r="H166">
        <v>0.96250000000000002</v>
      </c>
      <c r="I166">
        <v>1</v>
      </c>
      <c r="J166">
        <v>0.28993000000000002</v>
      </c>
      <c r="K166">
        <v>1E-4</v>
      </c>
      <c r="L166">
        <v>3.6956000000000003E-2</v>
      </c>
      <c r="M166">
        <v>102</v>
      </c>
      <c r="N166">
        <v>0.25947999999999999</v>
      </c>
      <c r="O166">
        <v>1E-4</v>
      </c>
      <c r="P166">
        <v>8.9290999999999995E-2</v>
      </c>
      <c r="Q166">
        <v>96</v>
      </c>
      <c r="R166">
        <v>0.32228000000000001</v>
      </c>
      <c r="S166">
        <v>1.1299E-2</v>
      </c>
      <c r="T166">
        <v>0.40811999999999998</v>
      </c>
    </row>
    <row r="167" spans="1:20" x14ac:dyDescent="0.2">
      <c r="A167" t="s">
        <v>113</v>
      </c>
      <c r="B167" t="s">
        <v>89</v>
      </c>
      <c r="C167">
        <v>8</v>
      </c>
      <c r="D167">
        <v>0.61875000000000002</v>
      </c>
      <c r="E167">
        <v>0.80222000000000004</v>
      </c>
      <c r="F167">
        <v>1</v>
      </c>
      <c r="G167">
        <v>0.38124999999999998</v>
      </c>
      <c r="H167">
        <v>0.19788</v>
      </c>
      <c r="I167">
        <v>0.65298</v>
      </c>
      <c r="J167">
        <v>7.7298000000000006E-2</v>
      </c>
      <c r="K167">
        <v>1E-4</v>
      </c>
      <c r="L167">
        <v>3.6956000000000003E-2</v>
      </c>
      <c r="M167">
        <v>3</v>
      </c>
      <c r="N167">
        <v>8.6397000000000002E-2</v>
      </c>
      <c r="O167">
        <v>1.8498000000000001E-2</v>
      </c>
      <c r="P167">
        <v>0.51620999999999995</v>
      </c>
      <c r="Q167">
        <v>5</v>
      </c>
      <c r="R167">
        <v>7.1837999999999999E-2</v>
      </c>
      <c r="S167">
        <v>4.9994999999999998E-4</v>
      </c>
      <c r="T167">
        <v>0.15801000000000001</v>
      </c>
    </row>
    <row r="168" spans="1:20" x14ac:dyDescent="0.2">
      <c r="A168" t="s">
        <v>113</v>
      </c>
      <c r="B168" t="s">
        <v>88</v>
      </c>
      <c r="C168">
        <v>7</v>
      </c>
      <c r="D168">
        <v>0.56569999999999998</v>
      </c>
      <c r="E168">
        <v>0.64603999999999995</v>
      </c>
      <c r="F168">
        <v>1</v>
      </c>
      <c r="G168">
        <v>0.43430000000000002</v>
      </c>
      <c r="H168">
        <v>0.35405999999999999</v>
      </c>
      <c r="I168">
        <v>0.82238999999999995</v>
      </c>
      <c r="J168">
        <v>8.5517999999999997E-2</v>
      </c>
      <c r="K168">
        <v>1.9997999999999999E-4</v>
      </c>
      <c r="L168">
        <v>3.6956000000000003E-2</v>
      </c>
      <c r="M168">
        <v>3</v>
      </c>
      <c r="N168">
        <v>8.6397000000000002E-2</v>
      </c>
      <c r="O168">
        <v>1.8498000000000001E-2</v>
      </c>
      <c r="P168">
        <v>0.51620999999999995</v>
      </c>
      <c r="Q168">
        <v>4</v>
      </c>
      <c r="R168">
        <v>8.4858000000000003E-2</v>
      </c>
      <c r="S168">
        <v>4.0996000000000001E-3</v>
      </c>
      <c r="T168">
        <v>0.33654000000000001</v>
      </c>
    </row>
    <row r="169" spans="1:20" x14ac:dyDescent="0.2">
      <c r="A169" t="s">
        <v>113</v>
      </c>
      <c r="B169" t="s">
        <v>90</v>
      </c>
      <c r="C169">
        <v>7</v>
      </c>
      <c r="D169">
        <v>0.56569999999999998</v>
      </c>
      <c r="E169">
        <v>0.64603999999999995</v>
      </c>
      <c r="F169">
        <v>1</v>
      </c>
      <c r="G169">
        <v>0.43430000000000002</v>
      </c>
      <c r="H169">
        <v>0.35405999999999999</v>
      </c>
      <c r="I169">
        <v>0.82238999999999995</v>
      </c>
      <c r="J169">
        <v>8.5517999999999997E-2</v>
      </c>
      <c r="K169">
        <v>1.9997999999999999E-4</v>
      </c>
      <c r="L169">
        <v>3.6956000000000003E-2</v>
      </c>
      <c r="M169">
        <v>3</v>
      </c>
      <c r="N169">
        <v>8.6397000000000002E-2</v>
      </c>
      <c r="O169">
        <v>1.8498000000000001E-2</v>
      </c>
      <c r="P169">
        <v>0.51620999999999995</v>
      </c>
      <c r="Q169">
        <v>4</v>
      </c>
      <c r="R169">
        <v>8.4858000000000003E-2</v>
      </c>
      <c r="S169">
        <v>4.0996000000000001E-3</v>
      </c>
      <c r="T169">
        <v>0.33654000000000001</v>
      </c>
    </row>
    <row r="170" spans="1:20" x14ac:dyDescent="0.2">
      <c r="A170" t="s">
        <v>113</v>
      </c>
      <c r="B170" t="s">
        <v>56</v>
      </c>
      <c r="C170">
        <v>20</v>
      </c>
      <c r="D170">
        <v>0.42471999999999999</v>
      </c>
      <c r="E170">
        <v>0.11849</v>
      </c>
      <c r="F170">
        <v>0.58172000000000001</v>
      </c>
      <c r="G170">
        <v>0.57528000000000001</v>
      </c>
      <c r="H170">
        <v>0.88161</v>
      </c>
      <c r="I170">
        <v>1</v>
      </c>
      <c r="J170">
        <v>0.17745</v>
      </c>
      <c r="K170">
        <v>1.9997999999999999E-4</v>
      </c>
      <c r="L170">
        <v>3.6956000000000003E-2</v>
      </c>
      <c r="M170">
        <v>12</v>
      </c>
      <c r="N170">
        <v>0.18908</v>
      </c>
      <c r="O170">
        <v>1.1098999999999999E-2</v>
      </c>
      <c r="P170">
        <v>0.51620999999999995</v>
      </c>
      <c r="Q170">
        <v>8</v>
      </c>
      <c r="R170">
        <v>0.16001000000000001</v>
      </c>
      <c r="S170">
        <v>6.9993E-3</v>
      </c>
      <c r="T170">
        <v>0.39810000000000001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Exp vs N chart</vt:lpstr>
      <vt:lpstr>Sheet5</vt:lpstr>
      <vt:lpstr>Exp strains vs WT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Juliano Sabedotti De Biaggi</cp:lastModifiedBy>
  <dcterms:created xsi:type="dcterms:W3CDTF">2015-06-05T18:17:20Z</dcterms:created>
  <dcterms:modified xsi:type="dcterms:W3CDTF">2025-04-24T18:34:28Z</dcterms:modified>
</cp:coreProperties>
</file>